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AIRA\Desktop\"/>
    </mc:Choice>
  </mc:AlternateContent>
  <xr:revisionPtr revIDLastSave="0" documentId="8_{90BDF5A5-2DE1-49E0-B43C-B23E5E0658BC}" xr6:coauthVersionLast="47" xr6:coauthVersionMax="47" xr10:uidLastSave="{00000000-0000-0000-0000-000000000000}"/>
  <bookViews>
    <workbookView xWindow="-96" yWindow="-96" windowWidth="23232" windowHeight="12552" firstSheet="9" activeTab="11" xr2:uid="{00000000-000D-0000-FFFF-FFFF00000000}"/>
  </bookViews>
  <sheets>
    <sheet name="DASHBORAD" sheetId="24" r:id="rId1"/>
    <sheet name="RAW DATA" sheetId="2" r:id="rId2"/>
    <sheet name="WORKING SHEET" sheetId="1" r:id="rId3"/>
    <sheet name="MONTHLY EXPENSES" sheetId="30" r:id="rId4"/>
    <sheet name="SAVINGS RATE" sheetId="13" r:id="rId5"/>
    <sheet name="TOP 5 TRANSACTIONS" sheetId="9" r:id="rId6"/>
    <sheet name="FIXED VS DISCRETIONARY EXP" sheetId="12" r:id="rId7"/>
    <sheet name="EXPENSES BY CATEGORY" sheetId="31" r:id="rId8"/>
    <sheet name="INCOME V EXPENSE" sheetId="6" r:id="rId9"/>
    <sheet name="AVERAGE TRANSACTIONS" sheetId="10" r:id="rId10"/>
    <sheet name="CREDIT VS CASH" sheetId="8" r:id="rId11"/>
    <sheet name="COUNTS" sheetId="5" r:id="rId12"/>
    <sheet name="PARETO" sheetId="29" r:id="rId13"/>
  </sheets>
  <definedNames>
    <definedName name="_xlnm._FilterDatabase" localSheetId="1" hidden="1">'RAW DATA'!$A$1:$F$73</definedName>
    <definedName name="_xlnm._FilterDatabase" localSheetId="2" hidden="1">'WORKING SHEET'!$A$1:$F$73</definedName>
    <definedName name="Slicer_Category">#N/A</definedName>
    <definedName name="Slicer_Fund_Class">#N/A</definedName>
    <definedName name="Slicer_Months__Date">#N/A</definedName>
    <definedName name="Slicer_Payment_Method">#N/A</definedName>
  </definedNames>
  <calcPr calcId="191029"/>
  <pivotCaches>
    <pivotCache cacheId="0" r:id="rId14"/>
    <pivotCache cacheId="1" r:id="rId15"/>
  </pivotCaches>
  <extLst>
    <ext xmlns:x14="http://schemas.microsoft.com/office/spreadsheetml/2009/9/main" uri="{876F7934-8845-4945-9796-88D515C7AA90}">
      <x14:pivotCaches>
        <pivotCache cacheId="2"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 i="24" l="1"/>
  <c r="D6" i="24"/>
  <c r="A6" i="24"/>
  <c r="C4" i="29"/>
  <c r="E5" i="13"/>
  <c r="D4" i="29" l="1"/>
  <c r="E6" i="13"/>
  <c r="E7" i="13"/>
  <c r="E8" i="13"/>
  <c r="C5" i="29"/>
  <c r="D5" i="29" l="1"/>
  <c r="G6" i="24"/>
  <c r="F5" i="13"/>
  <c r="F7" i="13"/>
  <c r="F6" i="13"/>
  <c r="C6" i="29"/>
  <c r="D6" i="29" l="1"/>
  <c r="C7" i="29"/>
  <c r="D7" i="29" l="1"/>
  <c r="C8" i="29"/>
  <c r="D8" i="29" l="1"/>
</calcChain>
</file>

<file path=xl/sharedStrings.xml><?xml version="1.0" encoding="utf-8"?>
<sst xmlns="http://schemas.openxmlformats.org/spreadsheetml/2006/main" count="776" uniqueCount="90">
  <si>
    <t>Date</t>
  </si>
  <si>
    <t>Description</t>
  </si>
  <si>
    <t>Category</t>
  </si>
  <si>
    <t>Fund Class</t>
  </si>
  <si>
    <t>Payment Method</t>
  </si>
  <si>
    <t>Amount</t>
  </si>
  <si>
    <t>Salary</t>
  </si>
  <si>
    <t>Income</t>
  </si>
  <si>
    <t>Credit Card</t>
  </si>
  <si>
    <t>Date night with Amiyah</t>
  </si>
  <si>
    <t>Flexing</t>
  </si>
  <si>
    <t>Expenses</t>
  </si>
  <si>
    <t>Lunch at Shiro</t>
  </si>
  <si>
    <t>Food &amp; Drinks</t>
  </si>
  <si>
    <t>Cash</t>
  </si>
  <si>
    <t>10Alytics Training</t>
  </si>
  <si>
    <t>Personal Development</t>
  </si>
  <si>
    <t>Breakfast at KFC</t>
  </si>
  <si>
    <t>Lunch at Chicken Republic</t>
  </si>
  <si>
    <t>Tennis Racket</t>
  </si>
  <si>
    <t>Night at club</t>
  </si>
  <si>
    <t>Coffee at Starbucks</t>
  </si>
  <si>
    <t>Petrol for car</t>
  </si>
  <si>
    <t>Housing &amp; Utilities</t>
  </si>
  <si>
    <t>Gym subscription</t>
  </si>
  <si>
    <t>McDonald's brunch</t>
  </si>
  <si>
    <t>Spotify subscription</t>
  </si>
  <si>
    <t>Lunch at Buzz</t>
  </si>
  <si>
    <t>Mainland Block Party</t>
  </si>
  <si>
    <t>2 shirts and 4 trousers</t>
  </si>
  <si>
    <t>Clothing</t>
  </si>
  <si>
    <t>House Rent</t>
  </si>
  <si>
    <t>Internet and Phone Subscription</t>
  </si>
  <si>
    <t>Coffee at Buzz</t>
  </si>
  <si>
    <t>Movie at cinema</t>
  </si>
  <si>
    <t>Grocery shopping</t>
  </si>
  <si>
    <t>Microsoft Office Purchase</t>
  </si>
  <si>
    <t>Breakfast at Chicken Republic</t>
  </si>
  <si>
    <t>Deodorant and Perfume purchase</t>
  </si>
  <si>
    <t>Birthday party</t>
  </si>
  <si>
    <t>Udemy course</t>
  </si>
  <si>
    <t>Sneakers purchase</t>
  </si>
  <si>
    <t>Business School Training</t>
  </si>
  <si>
    <t>New books purchase</t>
  </si>
  <si>
    <t>Shawarma at Yaba - Lunch</t>
  </si>
  <si>
    <t>Christmas bonus</t>
  </si>
  <si>
    <t>Interest from Investment</t>
  </si>
  <si>
    <t>Davido's concert</t>
  </si>
  <si>
    <t>Games Night contribution</t>
  </si>
  <si>
    <t>Boat cruise</t>
  </si>
  <si>
    <t>Christmas house decoration</t>
  </si>
  <si>
    <t>Apple watch purchase</t>
  </si>
  <si>
    <t>Dinner at Eko Hotel</t>
  </si>
  <si>
    <t>Lunch at Kapadoccia</t>
  </si>
  <si>
    <t>Laptop Repair</t>
  </si>
  <si>
    <t>Tailored analysis</t>
  </si>
  <si>
    <t>1. show expenses by month</t>
  </si>
  <si>
    <t>2.show expenses by category</t>
  </si>
  <si>
    <t>3. count of expenses by category</t>
  </si>
  <si>
    <t>4. expenses VS income</t>
  </si>
  <si>
    <t>Row Labels</t>
  </si>
  <si>
    <t>Grand Total</t>
  </si>
  <si>
    <t>Oct</t>
  </si>
  <si>
    <t>Nov</t>
  </si>
  <si>
    <t>Dec</t>
  </si>
  <si>
    <t>Sum of Amount</t>
  </si>
  <si>
    <t>Count of Amount</t>
  </si>
  <si>
    <t>Column Labels</t>
  </si>
  <si>
    <t>Savings</t>
  </si>
  <si>
    <t>Average of Amount2</t>
  </si>
  <si>
    <t>Running Total</t>
  </si>
  <si>
    <t>Fixed</t>
  </si>
  <si>
    <t>Expense Type</t>
  </si>
  <si>
    <t>income</t>
  </si>
  <si>
    <t>Savings Rate</t>
  </si>
  <si>
    <t>Months</t>
  </si>
  <si>
    <t>PERSONAL FINANCE DASHBOARD</t>
  </si>
  <si>
    <t>TOTAL INCOME</t>
  </si>
  <si>
    <t>TOTAL EXPENSES</t>
  </si>
  <si>
    <t>NET SAVINGS</t>
  </si>
  <si>
    <t>SAVINGS RATE</t>
  </si>
  <si>
    <t>OCT- December Analysis</t>
  </si>
  <si>
    <t>Salary was the largest transaction, followed by rent.</t>
  </si>
  <si>
    <t>Income exceeded expenses by 25%</t>
  </si>
  <si>
    <t>Housing and utilities accounted for the highest spending</t>
  </si>
  <si>
    <t>Discretionary spending represented the largest share of expenses</t>
  </si>
  <si>
    <t>Cumulative Percentage</t>
  </si>
  <si>
    <t>Savings performance improved as income
 exceeded expenses</t>
  </si>
  <si>
    <t>December recorded the highest monthly expenses.</t>
  </si>
  <si>
    <t>Discretionary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</si>
</sst>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470]#,##0"/>
    <numFmt numFmtId="165" formatCode="[$₦-470]#,##0;\-[$₦-470]#,##0"/>
    <numFmt numFmtId="166" formatCode="0.0%"/>
    <numFmt numFmtId="167" formatCode="[$₦-470]#,##0.00"/>
  </numFmts>
  <fonts count="2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scheme val="minor"/>
    </font>
    <font>
      <sz val="11"/>
      <color theme="1"/>
      <name val="Calibri"/>
    </font>
    <font>
      <b/>
      <sz val="11"/>
      <color theme="1"/>
      <name val="Calibri"/>
      <family val="2"/>
      <scheme val="minor"/>
    </font>
    <font>
      <b/>
      <sz val="12"/>
      <color theme="1"/>
      <name val="Calibri"/>
      <family val="2"/>
      <scheme val="minor"/>
    </font>
    <font>
      <b/>
      <sz val="18"/>
      <color theme="1"/>
      <name val="Calibri"/>
      <family val="2"/>
      <scheme val="minor"/>
    </font>
    <font>
      <b/>
      <sz val="22"/>
      <color theme="0"/>
      <name val="Calibri"/>
      <family val="2"/>
      <scheme val="minor"/>
    </font>
    <font>
      <b/>
      <sz val="18"/>
      <color theme="0"/>
      <name val="Calibri"/>
      <family val="2"/>
      <scheme val="minor"/>
    </font>
    <font>
      <b/>
      <sz val="20"/>
      <color rgb="FFC00000"/>
      <name val="Calibri"/>
      <family val="2"/>
      <scheme val="minor"/>
    </font>
    <font>
      <b/>
      <sz val="20"/>
      <color theme="9" tint="-0.249977111117893"/>
      <name val="Calibri"/>
      <family val="2"/>
      <scheme val="minor"/>
    </font>
    <font>
      <b/>
      <sz val="20"/>
      <color theme="4" tint="-0.249977111117893"/>
      <name val="Calibri"/>
      <family val="2"/>
      <scheme val="minor"/>
    </font>
    <font>
      <b/>
      <sz val="20"/>
      <color rgb="FF748C76"/>
      <name val="Calibri"/>
      <family val="2"/>
      <scheme val="minor"/>
    </font>
    <font>
      <sz val="11"/>
      <color theme="5" tint="-0.249977111117893"/>
      <name val="Calibri"/>
      <family val="2"/>
      <scheme val="minor"/>
    </font>
    <font>
      <sz val="8"/>
      <name val="Calibri"/>
      <scheme val="minor"/>
    </font>
    <font>
      <sz val="12"/>
      <color theme="1"/>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8" tint="-0.249977111117893"/>
        <bgColor indexed="64"/>
      </patternFill>
    </fill>
    <fill>
      <patternFill patternType="solid">
        <fgColor theme="8" tint="0.39997558519241921"/>
        <bgColor indexed="64"/>
      </patternFill>
    </fill>
  </fills>
  <borders count="5">
    <border>
      <left/>
      <right/>
      <top/>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s>
  <cellStyleXfs count="4">
    <xf numFmtId="0" fontId="0" fillId="0" borderId="0"/>
    <xf numFmtId="9" fontId="6"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cellStyleXfs>
  <cellXfs count="57">
    <xf numFmtId="0" fontId="0" fillId="0" borderId="0" xfId="0"/>
    <xf numFmtId="0" fontId="6" fillId="0" borderId="0" xfId="0" applyFont="1"/>
    <xf numFmtId="14" fontId="7" fillId="0" borderId="0" xfId="0" applyNumberFormat="1" applyFont="1"/>
    <xf numFmtId="0" fontId="8" fillId="0" borderId="0" xfId="0" applyFont="1"/>
    <xf numFmtId="164" fontId="6" fillId="0" borderId="0" xfId="0" applyNumberFormat="1" applyFont="1"/>
    <xf numFmtId="164" fontId="0" fillId="0" borderId="0" xfId="0" applyNumberFormat="1"/>
    <xf numFmtId="0" fontId="0" fillId="0" borderId="0" xfId="0" pivotButton="1"/>
    <xf numFmtId="0" fontId="0" fillId="0" borderId="0" xfId="0" applyAlignment="1">
      <alignment horizontal="left"/>
    </xf>
    <xf numFmtId="0" fontId="9" fillId="0" borderId="0" xfId="0" applyFont="1"/>
    <xf numFmtId="10" fontId="0" fillId="0" borderId="0" xfId="1" applyNumberFormat="1" applyFont="1"/>
    <xf numFmtId="0" fontId="8" fillId="3" borderId="0" xfId="0" applyFont="1" applyFill="1"/>
    <xf numFmtId="44" fontId="0" fillId="0" borderId="0" xfId="0" applyNumberFormat="1" applyAlignment="1">
      <alignment horizontal="left"/>
    </xf>
    <xf numFmtId="164" fontId="0" fillId="0" borderId="0" xfId="0" applyNumberFormat="1" applyAlignment="1">
      <alignment horizontal="center" vertical="top"/>
    </xf>
    <xf numFmtId="165" fontId="0" fillId="0" borderId="0" xfId="0" applyNumberFormat="1" applyAlignment="1">
      <alignment horizontal="center" vertical="center"/>
    </xf>
    <xf numFmtId="165" fontId="0" fillId="0" borderId="0" xfId="2" applyNumberFormat="1" applyFont="1" applyAlignment="1">
      <alignment horizontal="center" vertical="center"/>
    </xf>
    <xf numFmtId="164" fontId="8" fillId="0" borderId="0" xfId="0" applyNumberFormat="1" applyFont="1" applyAlignment="1">
      <alignment horizontal="center" vertical="center"/>
    </xf>
    <xf numFmtId="166" fontId="0" fillId="0" borderId="0" xfId="1" applyNumberFormat="1" applyFont="1"/>
    <xf numFmtId="0" fontId="0" fillId="0" borderId="0" xfId="0" applyAlignment="1">
      <alignment vertical="top"/>
    </xf>
    <xf numFmtId="0" fontId="0" fillId="0" borderId="0" xfId="0" applyAlignment="1">
      <alignment horizontal="left" indent="1"/>
    </xf>
    <xf numFmtId="0" fontId="17" fillId="0" borderId="0" xfId="0" applyFont="1" applyAlignment="1">
      <alignment vertical="top" wrapText="1"/>
    </xf>
    <xf numFmtId="0" fontId="5" fillId="0" borderId="0" xfId="0" applyFont="1" applyAlignment="1">
      <alignment vertical="top" wrapText="1"/>
    </xf>
    <xf numFmtId="0" fontId="17" fillId="0" borderId="0" xfId="0" applyFont="1" applyAlignment="1">
      <alignment vertical="center" wrapText="1"/>
    </xf>
    <xf numFmtId="0" fontId="3" fillId="0" borderId="0" xfId="0" applyFont="1" applyAlignment="1">
      <alignment wrapText="1"/>
    </xf>
    <xf numFmtId="0" fontId="5" fillId="0" borderId="0" xfId="0" applyFont="1" applyAlignment="1">
      <alignment wrapText="1"/>
    </xf>
    <xf numFmtId="0" fontId="4" fillId="0" borderId="0" xfId="0" applyFont="1" applyAlignment="1">
      <alignment wrapText="1"/>
    </xf>
    <xf numFmtId="0" fontId="4" fillId="0" borderId="0" xfId="0" applyFont="1" applyAlignment="1">
      <alignment vertical="top" wrapText="1"/>
    </xf>
    <xf numFmtId="0" fontId="5" fillId="0" borderId="0" xfId="0" applyFont="1" applyAlignment="1">
      <alignment vertical="top"/>
    </xf>
    <xf numFmtId="0" fontId="0" fillId="0" borderId="0" xfId="0" applyAlignment="1">
      <alignment vertical="center"/>
    </xf>
    <xf numFmtId="164" fontId="0" fillId="0" borderId="0" xfId="3" applyNumberFormat="1" applyFont="1"/>
    <xf numFmtId="9" fontId="0" fillId="0" borderId="0" xfId="1" applyFont="1"/>
    <xf numFmtId="167" fontId="0" fillId="0" borderId="0" xfId="0" applyNumberFormat="1"/>
    <xf numFmtId="167" fontId="8" fillId="2" borderId="1" xfId="0" applyNumberFormat="1" applyFont="1" applyFill="1" applyBorder="1"/>
    <xf numFmtId="10" fontId="0" fillId="0" borderId="0" xfId="0" applyNumberFormat="1"/>
    <xf numFmtId="167" fontId="0" fillId="3" borderId="0" xfId="0" applyNumberFormat="1" applyFill="1"/>
    <xf numFmtId="0" fontId="0" fillId="3" borderId="0" xfId="0" applyFill="1"/>
    <xf numFmtId="0" fontId="19" fillId="0" borderId="0" xfId="0" applyFont="1"/>
    <xf numFmtId="0" fontId="1" fillId="0" borderId="0" xfId="0" applyFont="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xf>
    <xf numFmtId="0" fontId="1" fillId="0" borderId="0" xfId="0" applyFont="1" applyAlignment="1">
      <alignment horizontal="center" vertical="center" wrapText="1"/>
    </xf>
    <xf numFmtId="0" fontId="5" fillId="0" borderId="0" xfId="0" applyFont="1" applyAlignment="1">
      <alignment horizontal="center" vertical="top"/>
    </xf>
    <xf numFmtId="0" fontId="2" fillId="0" borderId="0" xfId="0" applyFont="1" applyAlignment="1">
      <alignment horizontal="center" vertical="center" wrapText="1"/>
    </xf>
    <xf numFmtId="0" fontId="5" fillId="0" borderId="0" xfId="0" applyFont="1" applyAlignment="1">
      <alignment horizontal="center" vertical="center" wrapText="1"/>
    </xf>
    <xf numFmtId="0" fontId="2" fillId="0" borderId="0" xfId="0" applyFont="1" applyAlignment="1">
      <alignment horizontal="center" wrapText="1"/>
    </xf>
    <xf numFmtId="0" fontId="5" fillId="0" borderId="0" xfId="0" applyFont="1" applyAlignment="1">
      <alignment horizontal="center" wrapText="1"/>
    </xf>
    <xf numFmtId="0" fontId="3" fillId="0" borderId="0" xfId="0" applyFont="1" applyAlignment="1">
      <alignment horizontal="center" vertical="center"/>
    </xf>
    <xf numFmtId="164" fontId="2" fillId="0" borderId="4" xfId="0" applyNumberFormat="1" applyFont="1" applyBorder="1" applyAlignment="1">
      <alignment horizontal="center" vertical="center"/>
    </xf>
    <xf numFmtId="164" fontId="0" fillId="0" borderId="0" xfId="0" applyNumberFormat="1" applyAlignment="1">
      <alignment horizontal="center" vertical="center"/>
    </xf>
    <xf numFmtId="164" fontId="0" fillId="0" borderId="4" xfId="0" applyNumberFormat="1" applyBorder="1" applyAlignment="1">
      <alignment horizontal="center" vertical="center"/>
    </xf>
    <xf numFmtId="0" fontId="11" fillId="4" borderId="0" xfId="0" applyFont="1" applyFill="1" applyAlignment="1">
      <alignment horizontal="center"/>
    </xf>
    <xf numFmtId="0" fontId="12" fillId="5" borderId="0" xfId="0" applyFont="1" applyFill="1" applyAlignment="1">
      <alignment horizontal="center"/>
    </xf>
    <xf numFmtId="0" fontId="15" fillId="0" borderId="2" xfId="0" applyFont="1" applyBorder="1" applyAlignment="1">
      <alignment horizontal="center"/>
    </xf>
    <xf numFmtId="164" fontId="10" fillId="0" borderId="2" xfId="0" applyNumberFormat="1" applyFont="1" applyBorder="1" applyAlignment="1">
      <alignment horizontal="center"/>
    </xf>
    <xf numFmtId="0" fontId="13" fillId="0" borderId="2" xfId="0" applyFont="1" applyBorder="1" applyAlignment="1">
      <alignment horizontal="center"/>
    </xf>
    <xf numFmtId="0" fontId="14" fillId="0" borderId="2" xfId="0" applyFont="1" applyBorder="1" applyAlignment="1">
      <alignment horizontal="center"/>
    </xf>
    <xf numFmtId="0" fontId="16" fillId="0" borderId="2" xfId="0" applyFont="1" applyBorder="1" applyAlignment="1">
      <alignment horizontal="center"/>
    </xf>
    <xf numFmtId="10" fontId="10" fillId="0" borderId="2" xfId="0" applyNumberFormat="1" applyFont="1" applyBorder="1" applyAlignment="1">
      <alignment horizontal="center"/>
    </xf>
  </cellXfs>
  <cellStyles count="4">
    <cellStyle name="Comma" xfId="3" builtinId="3"/>
    <cellStyle name="Currency" xfId="2" builtinId="4"/>
    <cellStyle name="Normal" xfId="0" builtinId="0"/>
    <cellStyle name="Percent" xfId="1" builtinId="5"/>
  </cellStyles>
  <dxfs count="29">
    <dxf>
      <numFmt numFmtId="167" formatCode="[$₦-470]#,##0.00"/>
    </dxf>
    <dxf>
      <numFmt numFmtId="167" formatCode="[$₦-470]#,##0.00"/>
    </dxf>
    <dxf>
      <numFmt numFmtId="167" formatCode="[$₦-470]#,##0.00"/>
    </dxf>
    <dxf>
      <numFmt numFmtId="167" formatCode="[$₦-470]#,##0.00"/>
    </dxf>
    <dxf>
      <numFmt numFmtId="167" formatCode="[$₦-470]#,##0.00"/>
    </dxf>
    <dxf>
      <numFmt numFmtId="167" formatCode="[$₦-470]#,##0.00"/>
    </dxf>
    <dxf>
      <numFmt numFmtId="164" formatCode="[$₦-470]#,##0"/>
    </dxf>
    <dxf>
      <numFmt numFmtId="164" formatCode="[$₦-470]#,##0"/>
    </dxf>
    <dxf>
      <numFmt numFmtId="164" formatCode="[$₦-470]#,##0"/>
    </dxf>
    <dxf>
      <numFmt numFmtId="167" formatCode="[$₦-470]#,##0.00"/>
    </dxf>
    <dxf>
      <numFmt numFmtId="164" formatCode="[$₦-470]#,##0"/>
    </dxf>
    <dxf>
      <font>
        <b val="0"/>
        <i val="0"/>
        <strike val="0"/>
        <condense val="0"/>
        <extend val="0"/>
        <outline val="0"/>
        <shadow val="0"/>
        <u val="none"/>
        <vertAlign val="baseline"/>
        <sz val="11"/>
        <color theme="1"/>
        <name val="Calibri"/>
        <scheme val="minor"/>
      </font>
      <numFmt numFmtId="164" formatCode="[$₦-470]#,##0"/>
    </dxf>
    <dxf>
      <numFmt numFmtId="164" formatCode="[$₦-470]#,##0"/>
    </dxf>
    <dxf>
      <font>
        <b val="0"/>
        <i val="0"/>
        <strike val="0"/>
        <condense val="0"/>
        <extend val="0"/>
        <outline val="0"/>
        <shadow val="0"/>
        <u val="none"/>
        <vertAlign val="baseline"/>
        <sz val="11"/>
        <color theme="1"/>
        <name val="Calibri"/>
        <scheme val="minor"/>
      </font>
      <numFmt numFmtId="164" formatCode="[$₦-47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9" formatCode="m/d/yyyy"/>
    </dxf>
    <dxf>
      <font>
        <b val="0"/>
        <i val="0"/>
        <strike val="0"/>
        <condense val="0"/>
        <extend val="0"/>
        <outline val="0"/>
        <shadow val="0"/>
        <u val="none"/>
        <vertAlign val="baseline"/>
        <sz val="11"/>
        <color theme="1"/>
        <name val="Calibri"/>
        <scheme val="none"/>
      </font>
      <numFmt numFmtId="19"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7" formatCode="[$₦-470]#,##0.00"/>
    </dxf>
    <dxf>
      <numFmt numFmtId="167" formatCode="[$₦-470]#,##0.00"/>
    </dxf>
    <dxf>
      <numFmt numFmtId="167" formatCode="[$₦-470]#,##0.00"/>
    </dxf>
    <dxf>
      <numFmt numFmtId="167" formatCode="[$₦-470]#,##0.00"/>
    </dxf>
    <dxf>
      <numFmt numFmtId="167" formatCode="[$₦-470]#,##0.00"/>
    </dxf>
    <dxf>
      <numFmt numFmtId="167" formatCode="[$₦-470]#,##0.00"/>
    </dxf>
    <dxf>
      <numFmt numFmtId="167" formatCode="[$₦-470]#,##0.00"/>
    </dxf>
  </dxfs>
  <tableStyles count="0" defaultTableStyle="TableStyleMedium2" defaultPivotStyle="PivotStyleLight16"/>
  <colors>
    <mruColors>
      <color rgb="FF748C76"/>
      <color rgb="FF505947"/>
      <color rgb="FFFFFFFF"/>
      <color rgb="FFBF7F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cked"/>
        <c:varyColors val="0"/>
        <c:ser>
          <c:idx val="0"/>
          <c:order val="0"/>
          <c:tx>
            <c:strRef>
              <c:f>'SAVINGS RATE'!$J$3</c:f>
              <c:strCache>
                <c:ptCount val="1"/>
                <c:pt idx="0">
                  <c:v>Savings Rate</c:v>
                </c:pt>
              </c:strCache>
            </c:strRef>
          </c:tx>
          <c:spPr>
            <a:ln w="34925" cap="rnd">
              <a:solidFill>
                <a:schemeClr val="lt1"/>
              </a:solidFill>
              <a:round/>
            </a:ln>
            <a:effectLst>
              <a:outerShdw dist="25400" dir="2700000" algn="tl" rotWithShape="0">
                <a:schemeClr val="accent1"/>
              </a:outerShdw>
            </a:effectLst>
          </c:spPr>
          <c:marker>
            <c:symbol val="none"/>
          </c:marker>
          <c:cat>
            <c:strRef>
              <c:f>'SAVINGS RATE'!$I$4:$I$6</c:f>
              <c:strCache>
                <c:ptCount val="3"/>
                <c:pt idx="0">
                  <c:v> Oct </c:v>
                </c:pt>
                <c:pt idx="1">
                  <c:v>Nov</c:v>
                </c:pt>
                <c:pt idx="2">
                  <c:v>Dec</c:v>
                </c:pt>
              </c:strCache>
            </c:strRef>
          </c:cat>
          <c:val>
            <c:numRef>
              <c:f>'SAVINGS RATE'!$J$4:$J$6</c:f>
              <c:numCache>
                <c:formatCode>0.00%</c:formatCode>
                <c:ptCount val="3"/>
                <c:pt idx="0">
                  <c:v>0.35360249999999999</c:v>
                </c:pt>
                <c:pt idx="1">
                  <c:v>0.34723999999999999</c:v>
                </c:pt>
                <c:pt idx="2">
                  <c:v>0.46845796562935438</c:v>
                </c:pt>
              </c:numCache>
            </c:numRef>
          </c:val>
          <c:smooth val="0"/>
          <c:extLst>
            <c:ext xmlns:c16="http://schemas.microsoft.com/office/drawing/2014/chart" uri="{C3380CC4-5D6E-409C-BE32-E72D297353CC}">
              <c16:uniqueId val="{00000000-1E58-4622-A73D-F692EBD7818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396678735"/>
        <c:axId val="1199388383"/>
      </c:lineChart>
      <c:catAx>
        <c:axId val="139667873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99388383"/>
        <c:crosses val="autoZero"/>
        <c:auto val="1"/>
        <c:lblAlgn val="ctr"/>
        <c:lblOffset val="100"/>
        <c:noMultiLvlLbl val="0"/>
      </c:catAx>
      <c:valAx>
        <c:axId val="11993883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9667873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[Personal_Finance_Dashboard.xlsx]TOP 5 TRANSACTIONS!PivotTable2</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Transactions</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pivotFmt>
    </c:pivotFmts>
    <c:plotArea>
      <c:layout/>
      <c:barChart>
        <c:barDir val="bar"/>
        <c:grouping val="clustered"/>
        <c:varyColors val="0"/>
        <c:ser>
          <c:idx val="0"/>
          <c:order val="0"/>
          <c:tx>
            <c:strRef>
              <c:f>'TOP 5 TRANSACTIONS'!$B$3</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DC6F-4AD2-B295-9999E6BABBB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TRANSACTIONS'!$A$4:$A$9</c:f>
              <c:strCache>
                <c:ptCount val="5"/>
                <c:pt idx="0">
                  <c:v>Salary</c:v>
                </c:pt>
                <c:pt idx="1">
                  <c:v>Christmas bonus</c:v>
                </c:pt>
                <c:pt idx="2">
                  <c:v>House Rent</c:v>
                </c:pt>
                <c:pt idx="3">
                  <c:v>Interest from Investment</c:v>
                </c:pt>
                <c:pt idx="4">
                  <c:v>Grocery shopping</c:v>
                </c:pt>
              </c:strCache>
            </c:strRef>
          </c:cat>
          <c:val>
            <c:numRef>
              <c:f>'TOP 5 TRANSACTIONS'!$B$4:$B$9</c:f>
              <c:numCache>
                <c:formatCode>[$₦-470]#,##0</c:formatCode>
                <c:ptCount val="5"/>
                <c:pt idx="0">
                  <c:v>1200000</c:v>
                </c:pt>
                <c:pt idx="1">
                  <c:v>150000</c:v>
                </c:pt>
                <c:pt idx="2">
                  <c:v>150000</c:v>
                </c:pt>
                <c:pt idx="3">
                  <c:v>95900</c:v>
                </c:pt>
                <c:pt idx="4">
                  <c:v>77917</c:v>
                </c:pt>
              </c:numCache>
            </c:numRef>
          </c:val>
          <c:extLst>
            <c:ext xmlns:c16="http://schemas.microsoft.com/office/drawing/2014/chart" uri="{C3380CC4-5D6E-409C-BE32-E72D297353CC}">
              <c16:uniqueId val="{00000002-DC6F-4AD2-B295-9999E6BABBB6}"/>
            </c:ext>
          </c:extLst>
        </c:ser>
        <c:dLbls>
          <c:dLblPos val="outEnd"/>
          <c:showLegendKey val="0"/>
          <c:showVal val="1"/>
          <c:showCatName val="0"/>
          <c:showSerName val="0"/>
          <c:showPercent val="0"/>
          <c:showBubbleSize val="0"/>
        </c:dLbls>
        <c:gapWidth val="182"/>
        <c:axId val="1549307776"/>
        <c:axId val="1409150304"/>
      </c:barChart>
      <c:catAx>
        <c:axId val="15493077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09150304"/>
        <c:crosses val="autoZero"/>
        <c:auto val="1"/>
        <c:lblAlgn val="ctr"/>
        <c:lblOffset val="100"/>
        <c:noMultiLvlLbl val="0"/>
      </c:catAx>
      <c:valAx>
        <c:axId val="1409150304"/>
        <c:scaling>
          <c:orientation val="minMax"/>
        </c:scaling>
        <c:delete val="1"/>
        <c:axPos val="b"/>
        <c:numFmt formatCode="[$₦-470]#,##0" sourceLinked="1"/>
        <c:majorTickMark val="out"/>
        <c:minorTickMark val="none"/>
        <c:tickLblPos val="nextTo"/>
        <c:crossAx val="154930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[Personal_Finance_Dashboard.xlsx]FIXED VS DISCRETIONARY EXP!PivotTable1</c:name>
    <c:fmtId val="8"/>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Fixed</a:t>
            </a:r>
            <a:r>
              <a:rPr lang="en-US" sz="1400" baseline="0"/>
              <a:t> vs Discretionary Expenses</a:t>
            </a: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'FIXED VS DISCRETIONARY EXP'!$B$3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079-42D4-A2AD-102D5EA18BD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079-42D4-A2AD-102D5EA18BD2}"/>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'FIXED VS DISCRETIONARY EXP'!$A$4:$A$8</c:f>
              <c:multiLvlStrCache>
                <c:ptCount val="2"/>
                <c:lvl>
                  <c:pt idx="0">
                    <c:v>Expenses</c:v>
                  </c:pt>
                  <c:pt idx="1">
                    <c:v>Expenses</c:v>
                  </c:pt>
                </c:lvl>
                <c:lvl>
                  <c:pt idx="0">
                    <c:v>Discretionary</c:v>
                  </c:pt>
                  <c:pt idx="1">
                    <c:v>Fixed</c:v>
                  </c:pt>
                </c:lvl>
              </c:multiLvlStrCache>
            </c:multiLvlStrRef>
          </c:cat>
          <c:val>
            <c:numRef>
              <c:f>'FIXED VS DISCRETIONARY EXP'!$B$4:$B$8</c:f>
              <c:numCache>
                <c:formatCode>[$₦-470]#,##0</c:formatCode>
                <c:ptCount val="2"/>
                <c:pt idx="0">
                  <c:v>551495</c:v>
                </c:pt>
                <c:pt idx="1">
                  <c:v>311491</c:v>
                </c:pt>
              </c:numCache>
            </c:numRef>
          </c:val>
          <c:extLst>
            <c:ext xmlns:c16="http://schemas.microsoft.com/office/drawing/2014/chart" uri="{C3380CC4-5D6E-409C-BE32-E72D297353CC}">
              <c16:uniqueId val="{00000006-BBC1-4582-9855-EB0C92AEB78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[Personal_Finance_Dashboard.xlsx]INCOME V EXPENSE!PivotTable2</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Income</a:t>
            </a:r>
            <a:r>
              <a:rPr lang="en-US" baseline="0"/>
              <a:t> vs expenses</a:t>
            </a:r>
            <a:r>
              <a:rPr lang="en-US"/>
              <a:t> </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pivotFmt>
    </c:pivotFmts>
    <c:plotArea>
      <c:layout/>
      <c:barChart>
        <c:barDir val="col"/>
        <c:grouping val="stacked"/>
        <c:varyColors val="0"/>
        <c:ser>
          <c:idx val="0"/>
          <c:order val="0"/>
          <c:tx>
            <c:strRef>
              <c:f>'INCOME V EXPENSE'!$B$3</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4BA5-4A5A-A979-159FD07BB3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'INCOME V EXPENSE'!$A$4:$A$6</c:f>
              <c:strCache>
                <c:ptCount val="2"/>
                <c:pt idx="0">
                  <c:v>Income</c:v>
                </c:pt>
                <c:pt idx="1">
                  <c:v>Expenses</c:v>
                </c:pt>
              </c:strCache>
            </c:strRef>
          </c:cat>
          <c:val>
            <c:numRef>
              <c:f>'INCOME V EXPENSE'!$B$4:$B$6</c:f>
              <c:numCache>
                <c:formatCode>[$₦-470]#,##0</c:formatCode>
                <c:ptCount val="2"/>
                <c:pt idx="0">
                  <c:v>1445900</c:v>
                </c:pt>
                <c:pt idx="1">
                  <c:v>862986</c:v>
                </c:pt>
              </c:numCache>
            </c:numRef>
          </c:val>
          <c:extLst>
            <c:ext xmlns:c16="http://schemas.microsoft.com/office/drawing/2014/chart" uri="{C3380CC4-5D6E-409C-BE32-E72D297353CC}">
              <c16:uniqueId val="{00000002-4BA5-4A5A-A979-159FD07BB37F}"/>
            </c:ext>
          </c:extLst>
        </c:ser>
        <c:dLbls>
          <c:dLblPos val="ctr"/>
          <c:showLegendKey val="0"/>
          <c:showVal val="1"/>
          <c:showCatName val="0"/>
          <c:showSerName val="0"/>
          <c:showPercent val="0"/>
          <c:showBubbleSize val="0"/>
        </c:dLbls>
        <c:gapWidth val="79"/>
        <c:overlap val="100"/>
        <c:axId val="832005103"/>
        <c:axId val="832767551"/>
      </c:barChart>
      <c:catAx>
        <c:axId val="832005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832767551"/>
        <c:crosses val="autoZero"/>
        <c:auto val="1"/>
        <c:lblAlgn val="ctr"/>
        <c:lblOffset val="100"/>
        <c:noMultiLvlLbl val="0"/>
      </c:catAx>
      <c:valAx>
        <c:axId val="832767551"/>
        <c:scaling>
          <c:orientation val="minMax"/>
        </c:scaling>
        <c:delete val="1"/>
        <c:axPos val="l"/>
        <c:numFmt formatCode="[$₦-470]#,##0" sourceLinked="1"/>
        <c:majorTickMark val="none"/>
        <c:minorTickMark val="none"/>
        <c:tickLblPos val="nextTo"/>
        <c:crossAx val="83200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[Personal_Finance_Dashboard.xlsx]MONTHLY EXPENSES!PivotTable1</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Expenses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EXPENSES'!$B$3</c:f>
              <c:strCache>
                <c:ptCount val="1"/>
                <c:pt idx="0">
                  <c:v>Total</c:v>
                </c:pt>
              </c:strCache>
            </c:strRef>
          </c:tx>
          <c:spPr>
            <a:solidFill>
              <a:schemeClr val="accent1"/>
            </a:solidFill>
            <a:ln>
              <a:noFill/>
            </a:ln>
            <a:effectLst/>
          </c:spPr>
          <c:invertIfNegative val="0"/>
          <c:cat>
            <c:strRef>
              <c:f>'MONTHLY EXPENSES'!$A$4:$A$7</c:f>
              <c:strCache>
                <c:ptCount val="3"/>
                <c:pt idx="0">
                  <c:v>Oct</c:v>
                </c:pt>
                <c:pt idx="1">
                  <c:v>Nov</c:v>
                </c:pt>
                <c:pt idx="2">
                  <c:v>Dec</c:v>
                </c:pt>
              </c:strCache>
            </c:strRef>
          </c:cat>
          <c:val>
            <c:numRef>
              <c:f>'MONTHLY EXPENSES'!$B$4:$B$7</c:f>
              <c:numCache>
                <c:formatCode>General</c:formatCode>
                <c:ptCount val="3"/>
                <c:pt idx="0">
                  <c:v>258559</c:v>
                </c:pt>
                <c:pt idx="1">
                  <c:v>261104</c:v>
                </c:pt>
                <c:pt idx="2">
                  <c:v>343323</c:v>
                </c:pt>
              </c:numCache>
            </c:numRef>
          </c:val>
          <c:extLst>
            <c:ext xmlns:c16="http://schemas.microsoft.com/office/drawing/2014/chart" uri="{C3380CC4-5D6E-409C-BE32-E72D297353CC}">
              <c16:uniqueId val="{00000000-37DB-4380-A76F-3EC8A07DB89E}"/>
            </c:ext>
          </c:extLst>
        </c:ser>
        <c:dLbls>
          <c:showLegendKey val="0"/>
          <c:showVal val="0"/>
          <c:showCatName val="0"/>
          <c:showSerName val="0"/>
          <c:showPercent val="0"/>
          <c:showBubbleSize val="0"/>
        </c:dLbls>
        <c:gapWidth val="219"/>
        <c:overlap val="-27"/>
        <c:axId val="861746831"/>
        <c:axId val="605971007"/>
      </c:barChart>
      <c:catAx>
        <c:axId val="86174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971007"/>
        <c:crosses val="autoZero"/>
        <c:auto val="1"/>
        <c:lblAlgn val="ctr"/>
        <c:lblOffset val="100"/>
        <c:noMultiLvlLbl val="0"/>
      </c:catAx>
      <c:valAx>
        <c:axId val="605971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7468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[Personal_Finance_Dashboard.xlsx]EXPENSES BY CATEGORY!PivotTable2</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rgbClr val="000000">
                    <a:lumMod val="75000"/>
                    <a:lumOff val="25000"/>
                  </a:srgbClr>
                </a:solidFill>
                <a:latin typeface="+mn-lt"/>
                <a:ea typeface="+mn-ea"/>
                <a:cs typeface="+mn-cs"/>
              </a:defRPr>
            </a:pPr>
            <a:r>
              <a:rPr lang="en-US" sz="1800" b="1" i="0" u="none" strike="noStrike" kern="1200" baseline="0">
                <a:solidFill>
                  <a:srgbClr val="000000">
                    <a:lumMod val="75000"/>
                    <a:lumOff val="25000"/>
                  </a:srgbClr>
                </a:solidFill>
              </a:rPr>
              <a:t>Total expenses by 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75000"/>
                    <a:lumOff val="25000"/>
                  </a:srgb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rgbClr val="000000">
                  <a:lumMod val="75000"/>
                  <a:lumOff val="25000"/>
                </a:srgb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'EXPENSES BY CATEGORY'!$B$3</c:f>
              <c:strCache>
                <c:ptCount val="1"/>
                <c:pt idx="0">
                  <c:v>Total</c:v>
                </c:pt>
              </c:strCache>
            </c:strRef>
          </c:tx>
          <c:spPr>
            <a:solidFill>
              <a:schemeClr val="accent1">
                <a:alpha val="85000"/>
              </a:schemeClr>
            </a:solidFill>
            <a:ln w="9525" cap="flat" cmpd="sng" algn="ctr">
              <a:solidFill>
                <a:schemeClr val="accent1">
                  <a:lumMod val="75000"/>
                </a:schemeClr>
              </a:solidFill>
              <a:round/>
            </a:ln>
            <a:effectLst/>
          </c:spPr>
          <c:invertIfNegative val="0"/>
          <c:cat>
            <c:strRef>
              <c:f>'EXPENSES BY CATEGORY'!$A$4:$A$9</c:f>
              <c:strCache>
                <c:ptCount val="5"/>
                <c:pt idx="0">
                  <c:v>Clothing</c:v>
                </c:pt>
                <c:pt idx="1">
                  <c:v>Personal Development</c:v>
                </c:pt>
                <c:pt idx="2">
                  <c:v>Flexing</c:v>
                </c:pt>
                <c:pt idx="3">
                  <c:v>Food &amp; Drinks</c:v>
                </c:pt>
                <c:pt idx="4">
                  <c:v>Housing &amp; Utilities</c:v>
                </c:pt>
              </c:strCache>
            </c:strRef>
          </c:cat>
          <c:val>
            <c:numRef>
              <c:f>'EXPENSES BY CATEGORY'!$B$4:$B$9</c:f>
              <c:numCache>
                <c:formatCode>[$₦-470]#,##0.00</c:formatCode>
                <c:ptCount val="5"/>
                <c:pt idx="0">
                  <c:v>69900</c:v>
                </c:pt>
                <c:pt idx="1">
                  <c:v>137712</c:v>
                </c:pt>
                <c:pt idx="2">
                  <c:v>182094</c:v>
                </c:pt>
                <c:pt idx="3">
                  <c:v>207910</c:v>
                </c:pt>
                <c:pt idx="4">
                  <c:v>265370</c:v>
                </c:pt>
              </c:numCache>
            </c:numRef>
          </c:val>
          <c:extLst>
            <c:ext xmlns:c16="http://schemas.microsoft.com/office/drawing/2014/chart" uri="{C3380CC4-5D6E-409C-BE32-E72D297353CC}">
              <c16:uniqueId val="{00000000-9C61-471B-B5C6-BFFB8E1E54E8}"/>
            </c:ext>
          </c:extLst>
        </c:ser>
        <c:dLbls>
          <c:showLegendKey val="0"/>
          <c:showVal val="0"/>
          <c:showCatName val="0"/>
          <c:showSerName val="0"/>
          <c:showPercent val="0"/>
          <c:showBubbleSize val="0"/>
        </c:dLbls>
        <c:gapWidth val="65"/>
        <c:axId val="861790447"/>
        <c:axId val="804297375"/>
      </c:barChart>
      <c:catAx>
        <c:axId val="8617904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04297375"/>
        <c:crosses val="autoZero"/>
        <c:auto val="1"/>
        <c:lblAlgn val="ctr"/>
        <c:lblOffset val="100"/>
        <c:noMultiLvlLbl val="0"/>
      </c:catAx>
      <c:valAx>
        <c:axId val="804297375"/>
        <c:scaling>
          <c:orientation val="minMax"/>
        </c:scaling>
        <c:delete val="0"/>
        <c:axPos val="l"/>
        <c:majorGridlines>
          <c:spPr>
            <a:ln w="9525" cap="flat" cmpd="sng" algn="ctr">
              <a:solidFill>
                <a:schemeClr val="dk1">
                  <a:lumMod val="15000"/>
                  <a:lumOff val="85000"/>
                </a:schemeClr>
              </a:solidFill>
              <a:round/>
            </a:ln>
            <a:effectLst/>
          </c:spPr>
        </c:majorGridlines>
        <c:numFmt formatCode="[$₦-47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6179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[Personal_Finance_Dashboard.xlsx]MONTHLY EXPENSES!PivotTable1</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Expenses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EXPENSES'!$B$3</c:f>
              <c:strCache>
                <c:ptCount val="1"/>
                <c:pt idx="0">
                  <c:v>Total</c:v>
                </c:pt>
              </c:strCache>
            </c:strRef>
          </c:tx>
          <c:spPr>
            <a:solidFill>
              <a:schemeClr val="accent1"/>
            </a:solidFill>
            <a:ln>
              <a:noFill/>
            </a:ln>
            <a:effectLst/>
          </c:spPr>
          <c:invertIfNegative val="0"/>
          <c:cat>
            <c:strRef>
              <c:f>'MONTHLY EXPENSES'!$A$4:$A$7</c:f>
              <c:strCache>
                <c:ptCount val="3"/>
                <c:pt idx="0">
                  <c:v>Oct</c:v>
                </c:pt>
                <c:pt idx="1">
                  <c:v>Nov</c:v>
                </c:pt>
                <c:pt idx="2">
                  <c:v>Dec</c:v>
                </c:pt>
              </c:strCache>
            </c:strRef>
          </c:cat>
          <c:val>
            <c:numRef>
              <c:f>'MONTHLY EXPENSES'!$B$4:$B$7</c:f>
              <c:numCache>
                <c:formatCode>General</c:formatCode>
                <c:ptCount val="3"/>
                <c:pt idx="0">
                  <c:v>258559</c:v>
                </c:pt>
                <c:pt idx="1">
                  <c:v>261104</c:v>
                </c:pt>
                <c:pt idx="2">
                  <c:v>343323</c:v>
                </c:pt>
              </c:numCache>
            </c:numRef>
          </c:val>
          <c:extLst>
            <c:ext xmlns:c16="http://schemas.microsoft.com/office/drawing/2014/chart" uri="{C3380CC4-5D6E-409C-BE32-E72D297353CC}">
              <c16:uniqueId val="{00000000-8229-46FA-8602-2A48908735A1}"/>
            </c:ext>
          </c:extLst>
        </c:ser>
        <c:dLbls>
          <c:showLegendKey val="0"/>
          <c:showVal val="0"/>
          <c:showCatName val="0"/>
          <c:showSerName val="0"/>
          <c:showPercent val="0"/>
          <c:showBubbleSize val="0"/>
        </c:dLbls>
        <c:gapWidth val="219"/>
        <c:overlap val="-27"/>
        <c:axId val="861746831"/>
        <c:axId val="605971007"/>
      </c:barChart>
      <c:catAx>
        <c:axId val="86174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971007"/>
        <c:crosses val="autoZero"/>
        <c:auto val="1"/>
        <c:lblAlgn val="ctr"/>
        <c:lblOffset val="100"/>
        <c:noMultiLvlLbl val="0"/>
      </c:catAx>
      <c:valAx>
        <c:axId val="605971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7468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cked"/>
        <c:varyColors val="0"/>
        <c:ser>
          <c:idx val="0"/>
          <c:order val="0"/>
          <c:tx>
            <c:strRef>
              <c:f>'SAVINGS RATE'!$J$3</c:f>
              <c:strCache>
                <c:ptCount val="1"/>
                <c:pt idx="0">
                  <c:v>Savings Rate</c:v>
                </c:pt>
              </c:strCache>
            </c:strRef>
          </c:tx>
          <c:spPr>
            <a:ln w="34925" cap="rnd">
              <a:solidFill>
                <a:schemeClr val="lt1"/>
              </a:solidFill>
              <a:round/>
            </a:ln>
            <a:effectLst>
              <a:outerShdw dist="25400" dir="2700000" algn="tl" rotWithShape="0">
                <a:schemeClr val="accent1"/>
              </a:outerShdw>
            </a:effectLst>
          </c:spPr>
          <c:marker>
            <c:symbol val="none"/>
          </c:marker>
          <c:cat>
            <c:strRef>
              <c:f>'SAVINGS RATE'!$I$4:$I$6</c:f>
              <c:strCache>
                <c:ptCount val="3"/>
                <c:pt idx="0">
                  <c:v> Oct </c:v>
                </c:pt>
                <c:pt idx="1">
                  <c:v>Nov</c:v>
                </c:pt>
                <c:pt idx="2">
                  <c:v>Dec</c:v>
                </c:pt>
              </c:strCache>
            </c:strRef>
          </c:cat>
          <c:val>
            <c:numRef>
              <c:f>'SAVINGS RATE'!$J$4:$J$6</c:f>
              <c:numCache>
                <c:formatCode>0.00%</c:formatCode>
                <c:ptCount val="3"/>
                <c:pt idx="0">
                  <c:v>0.35360249999999999</c:v>
                </c:pt>
                <c:pt idx="1">
                  <c:v>0.34723999999999999</c:v>
                </c:pt>
                <c:pt idx="2">
                  <c:v>0.46845796562935438</c:v>
                </c:pt>
              </c:numCache>
            </c:numRef>
          </c:val>
          <c:smooth val="0"/>
          <c:extLst>
            <c:ext xmlns:c16="http://schemas.microsoft.com/office/drawing/2014/chart" uri="{C3380CC4-5D6E-409C-BE32-E72D297353CC}">
              <c16:uniqueId val="{00000000-EA1F-4CF8-8432-5CB7062C9697}"/>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396678735"/>
        <c:axId val="1199388383"/>
      </c:lineChart>
      <c:catAx>
        <c:axId val="139667873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99388383"/>
        <c:crosses val="autoZero"/>
        <c:auto val="1"/>
        <c:lblAlgn val="ctr"/>
        <c:lblOffset val="100"/>
        <c:noMultiLvlLbl val="0"/>
      </c:catAx>
      <c:valAx>
        <c:axId val="11993883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9667873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[Personal_Finance_Dashboard.xlsx]TOP 5 TRANSACTIONS!PivotTable2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TRANSACTIONS</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s>
    <c:plotArea>
      <c:layout/>
      <c:barChart>
        <c:barDir val="bar"/>
        <c:grouping val="clustered"/>
        <c:varyColors val="0"/>
        <c:ser>
          <c:idx val="0"/>
          <c:order val="0"/>
          <c:tx>
            <c:strRef>
              <c:f>'TOP 5 TRANSACTIONS'!$B$3</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2-1BAA-4FAC-A139-F708AC67C56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TRANSACTIONS'!$A$4:$A$9</c:f>
              <c:strCache>
                <c:ptCount val="5"/>
                <c:pt idx="0">
                  <c:v>Salary</c:v>
                </c:pt>
                <c:pt idx="1">
                  <c:v>Christmas bonus</c:v>
                </c:pt>
                <c:pt idx="2">
                  <c:v>House Rent</c:v>
                </c:pt>
                <c:pt idx="3">
                  <c:v>Interest from Investment</c:v>
                </c:pt>
                <c:pt idx="4">
                  <c:v>Grocery shopping</c:v>
                </c:pt>
              </c:strCache>
            </c:strRef>
          </c:cat>
          <c:val>
            <c:numRef>
              <c:f>'TOP 5 TRANSACTIONS'!$B$4:$B$9</c:f>
              <c:numCache>
                <c:formatCode>[$₦-470]#,##0</c:formatCode>
                <c:ptCount val="5"/>
                <c:pt idx="0">
                  <c:v>1200000</c:v>
                </c:pt>
                <c:pt idx="1">
                  <c:v>150000</c:v>
                </c:pt>
                <c:pt idx="2">
                  <c:v>150000</c:v>
                </c:pt>
                <c:pt idx="3">
                  <c:v>95900</c:v>
                </c:pt>
                <c:pt idx="4">
                  <c:v>77917</c:v>
                </c:pt>
              </c:numCache>
            </c:numRef>
          </c:val>
          <c:extLst>
            <c:ext xmlns:c16="http://schemas.microsoft.com/office/drawing/2014/chart" uri="{C3380CC4-5D6E-409C-BE32-E72D297353CC}">
              <c16:uniqueId val="{00000000-1BAA-4FAC-A139-F708AC67C569}"/>
            </c:ext>
          </c:extLst>
        </c:ser>
        <c:dLbls>
          <c:dLblPos val="outEnd"/>
          <c:showLegendKey val="0"/>
          <c:showVal val="1"/>
          <c:showCatName val="0"/>
          <c:showSerName val="0"/>
          <c:showPercent val="0"/>
          <c:showBubbleSize val="0"/>
        </c:dLbls>
        <c:gapWidth val="182"/>
        <c:axId val="1549307776"/>
        <c:axId val="1409150304"/>
      </c:barChart>
      <c:catAx>
        <c:axId val="15493077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09150304"/>
        <c:crosses val="autoZero"/>
        <c:auto val="1"/>
        <c:lblAlgn val="ctr"/>
        <c:lblOffset val="100"/>
        <c:noMultiLvlLbl val="0"/>
      </c:catAx>
      <c:valAx>
        <c:axId val="1409150304"/>
        <c:scaling>
          <c:orientation val="minMax"/>
        </c:scaling>
        <c:delete val="1"/>
        <c:axPos val="b"/>
        <c:numFmt formatCode="[$₦-470]#,##0" sourceLinked="1"/>
        <c:majorTickMark val="out"/>
        <c:minorTickMark val="none"/>
        <c:tickLblPos val="nextTo"/>
        <c:crossAx val="154930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[Personal_Finance_Dashboard.xlsx]FIXED VS DISCRETIONARY EXP!PivotTable1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Fixed</a:t>
            </a:r>
            <a:r>
              <a:rPr lang="en-US" baseline="0"/>
              <a:t> vs Discretionary Expenses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'FIXED VS DISCRETIONARY EXP'!$B$3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F9F-4BBF-90E4-3FBF53F90BA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F9F-4BBF-90E4-3FBF53F90BA2}"/>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'FIXED VS DISCRETIONARY EXP'!$A$4:$A$8</c:f>
              <c:multiLvlStrCache>
                <c:ptCount val="2"/>
                <c:lvl>
                  <c:pt idx="0">
                    <c:v>Expenses</c:v>
                  </c:pt>
                  <c:pt idx="1">
                    <c:v>Expenses</c:v>
                  </c:pt>
                </c:lvl>
                <c:lvl>
                  <c:pt idx="0">
                    <c:v>Discretionary</c:v>
                  </c:pt>
                  <c:pt idx="1">
                    <c:v>Fixed</c:v>
                  </c:pt>
                </c:lvl>
              </c:multiLvlStrCache>
            </c:multiLvlStrRef>
          </c:cat>
          <c:val>
            <c:numRef>
              <c:f>'FIXED VS DISCRETIONARY EXP'!$B$4:$B$8</c:f>
              <c:numCache>
                <c:formatCode>[$₦-470]#,##0</c:formatCode>
                <c:ptCount val="2"/>
                <c:pt idx="0">
                  <c:v>551495</c:v>
                </c:pt>
                <c:pt idx="1">
                  <c:v>311491</c:v>
                </c:pt>
              </c:numCache>
            </c:numRef>
          </c:val>
          <c:extLst>
            <c:ext xmlns:c16="http://schemas.microsoft.com/office/drawing/2014/chart" uri="{C3380CC4-5D6E-409C-BE32-E72D297353CC}">
              <c16:uniqueId val="{00000006-081C-4CBB-AA1E-10E5C434488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[Personal_Finance_Dashboard.xlsx]EXPENSES BY CATEGORY!PivotTable2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rgbClr val="000000">
                    <a:lumMod val="75000"/>
                    <a:lumOff val="25000"/>
                  </a:srgbClr>
                </a:solidFill>
                <a:latin typeface="+mn-lt"/>
                <a:ea typeface="+mn-ea"/>
                <a:cs typeface="+mn-cs"/>
              </a:defRPr>
            </a:pPr>
            <a:r>
              <a:rPr lang="en-US" sz="1800" b="1" i="0" u="none" strike="noStrike" kern="1200" baseline="0">
                <a:solidFill>
                  <a:srgbClr val="000000">
                    <a:lumMod val="75000"/>
                    <a:lumOff val="25000"/>
                  </a:srgbClr>
                </a:solidFill>
              </a:rPr>
              <a:t>Total expenses by 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75000"/>
                    <a:lumOff val="25000"/>
                  </a:srgb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rgbClr val="000000">
                  <a:lumMod val="75000"/>
                  <a:lumOff val="25000"/>
                </a:srgb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'EXPENSES BY CATEGORY'!$B$3</c:f>
              <c:strCache>
                <c:ptCount val="1"/>
                <c:pt idx="0">
                  <c:v>Total</c:v>
                </c:pt>
              </c:strCache>
            </c:strRef>
          </c:tx>
          <c:spPr>
            <a:solidFill>
              <a:schemeClr val="accent1">
                <a:alpha val="85000"/>
              </a:schemeClr>
            </a:solidFill>
            <a:ln w="9525" cap="flat" cmpd="sng" algn="ctr">
              <a:solidFill>
                <a:schemeClr val="accent1">
                  <a:lumMod val="75000"/>
                </a:schemeClr>
              </a:solidFill>
              <a:round/>
            </a:ln>
            <a:effectLst/>
          </c:spPr>
          <c:invertIfNegative val="0"/>
          <c:cat>
            <c:strRef>
              <c:f>'EXPENSES BY CATEGORY'!$A$4:$A$9</c:f>
              <c:strCache>
                <c:ptCount val="5"/>
                <c:pt idx="0">
                  <c:v>Clothing</c:v>
                </c:pt>
                <c:pt idx="1">
                  <c:v>Personal Development</c:v>
                </c:pt>
                <c:pt idx="2">
                  <c:v>Flexing</c:v>
                </c:pt>
                <c:pt idx="3">
                  <c:v>Food &amp; Drinks</c:v>
                </c:pt>
                <c:pt idx="4">
                  <c:v>Housing &amp; Utilities</c:v>
                </c:pt>
              </c:strCache>
            </c:strRef>
          </c:cat>
          <c:val>
            <c:numRef>
              <c:f>'EXPENSES BY CATEGORY'!$B$4:$B$9</c:f>
              <c:numCache>
                <c:formatCode>[$₦-470]#,##0.00</c:formatCode>
                <c:ptCount val="5"/>
                <c:pt idx="0">
                  <c:v>69900</c:v>
                </c:pt>
                <c:pt idx="1">
                  <c:v>137712</c:v>
                </c:pt>
                <c:pt idx="2">
                  <c:v>182094</c:v>
                </c:pt>
                <c:pt idx="3">
                  <c:v>207910</c:v>
                </c:pt>
                <c:pt idx="4">
                  <c:v>265370</c:v>
                </c:pt>
              </c:numCache>
            </c:numRef>
          </c:val>
          <c:extLst>
            <c:ext xmlns:c16="http://schemas.microsoft.com/office/drawing/2014/chart" uri="{C3380CC4-5D6E-409C-BE32-E72D297353CC}">
              <c16:uniqueId val="{00000000-31CD-4384-A02C-431647F3BBFC}"/>
            </c:ext>
          </c:extLst>
        </c:ser>
        <c:dLbls>
          <c:showLegendKey val="0"/>
          <c:showVal val="0"/>
          <c:showCatName val="0"/>
          <c:showSerName val="0"/>
          <c:showPercent val="0"/>
          <c:showBubbleSize val="0"/>
        </c:dLbls>
        <c:gapWidth val="65"/>
        <c:axId val="861790447"/>
        <c:axId val="804297375"/>
      </c:barChart>
      <c:catAx>
        <c:axId val="8617904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04297375"/>
        <c:crosses val="autoZero"/>
        <c:auto val="1"/>
        <c:lblAlgn val="ctr"/>
        <c:lblOffset val="100"/>
        <c:noMultiLvlLbl val="0"/>
      </c:catAx>
      <c:valAx>
        <c:axId val="804297375"/>
        <c:scaling>
          <c:orientation val="minMax"/>
        </c:scaling>
        <c:delete val="0"/>
        <c:axPos val="l"/>
        <c:majorGridlines>
          <c:spPr>
            <a:ln w="9525" cap="flat" cmpd="sng" algn="ctr">
              <a:solidFill>
                <a:schemeClr val="dk1">
                  <a:lumMod val="15000"/>
                  <a:lumOff val="85000"/>
                </a:schemeClr>
              </a:solidFill>
              <a:round/>
            </a:ln>
            <a:effectLst/>
          </c:spPr>
        </c:majorGridlines>
        <c:numFmt formatCode="[$₦-47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6179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[Personal_Finance_Dashboard.xlsx]INCOME V EXPENSE!PivotTable2</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INCOME VS EXPENSES </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s>
    <c:plotArea>
      <c:layout/>
      <c:barChart>
        <c:barDir val="col"/>
        <c:grouping val="stacked"/>
        <c:varyColors val="0"/>
        <c:ser>
          <c:idx val="0"/>
          <c:order val="0"/>
          <c:tx>
            <c:strRef>
              <c:f>'INCOME V EXPENSE'!$B$3</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829E-4822-A907-A0E7BECA96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'INCOME V EXPENSE'!$A$4:$A$6</c:f>
              <c:strCache>
                <c:ptCount val="2"/>
                <c:pt idx="0">
                  <c:v>Income</c:v>
                </c:pt>
                <c:pt idx="1">
                  <c:v>Expenses</c:v>
                </c:pt>
              </c:strCache>
            </c:strRef>
          </c:cat>
          <c:val>
            <c:numRef>
              <c:f>'INCOME V EXPENSE'!$B$4:$B$6</c:f>
              <c:numCache>
                <c:formatCode>[$₦-470]#,##0</c:formatCode>
                <c:ptCount val="2"/>
                <c:pt idx="0">
                  <c:v>1445900</c:v>
                </c:pt>
                <c:pt idx="1">
                  <c:v>862986</c:v>
                </c:pt>
              </c:numCache>
            </c:numRef>
          </c:val>
          <c:extLst>
            <c:ext xmlns:c16="http://schemas.microsoft.com/office/drawing/2014/chart" uri="{C3380CC4-5D6E-409C-BE32-E72D297353CC}">
              <c16:uniqueId val="{00000000-9F9F-458E-AED2-B687AA0AF5C7}"/>
            </c:ext>
          </c:extLst>
        </c:ser>
        <c:dLbls>
          <c:dLblPos val="ctr"/>
          <c:showLegendKey val="0"/>
          <c:showVal val="1"/>
          <c:showCatName val="0"/>
          <c:showSerName val="0"/>
          <c:showPercent val="0"/>
          <c:showBubbleSize val="0"/>
        </c:dLbls>
        <c:gapWidth val="79"/>
        <c:overlap val="100"/>
        <c:axId val="832005103"/>
        <c:axId val="832767551"/>
      </c:barChart>
      <c:catAx>
        <c:axId val="832005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832767551"/>
        <c:crosses val="autoZero"/>
        <c:auto val="1"/>
        <c:lblAlgn val="ctr"/>
        <c:lblOffset val="100"/>
        <c:noMultiLvlLbl val="0"/>
      </c:catAx>
      <c:valAx>
        <c:axId val="832767551"/>
        <c:scaling>
          <c:orientation val="minMax"/>
        </c:scaling>
        <c:delete val="1"/>
        <c:axPos val="l"/>
        <c:numFmt formatCode="[$₦-470]#,##0" sourceLinked="1"/>
        <c:majorTickMark val="none"/>
        <c:minorTickMark val="none"/>
        <c:tickLblPos val="nextTo"/>
        <c:crossAx val="83200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[Personal_Finance_Dashboard.xlsx]AVERAGE TRANSACTIONS!PivotTable3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TRANSACTIONS</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TRANSACTIONS'!$B$3</c:f>
              <c:strCache>
                <c:ptCount val="1"/>
                <c:pt idx="0">
                  <c:v>Sum of Amount</c:v>
                </c:pt>
              </c:strCache>
            </c:strRef>
          </c:tx>
          <c:spPr>
            <a:solidFill>
              <a:schemeClr val="accent1"/>
            </a:solidFill>
            <a:ln>
              <a:noFill/>
            </a:ln>
            <a:effectLst/>
          </c:spPr>
          <c:invertIfNegative val="0"/>
          <c:cat>
            <c:strRef>
              <c:f>'AVERAGE TRANSACTIONS'!$A$4:$A$9</c:f>
              <c:strCache>
                <c:ptCount val="5"/>
                <c:pt idx="0">
                  <c:v>Clothing</c:v>
                </c:pt>
                <c:pt idx="1">
                  <c:v>Flexing</c:v>
                </c:pt>
                <c:pt idx="2">
                  <c:v>Food &amp; Drinks</c:v>
                </c:pt>
                <c:pt idx="3">
                  <c:v>Housing &amp; Utilities</c:v>
                </c:pt>
                <c:pt idx="4">
                  <c:v>Personal Development</c:v>
                </c:pt>
              </c:strCache>
            </c:strRef>
          </c:cat>
          <c:val>
            <c:numRef>
              <c:f>'AVERAGE TRANSACTIONS'!$B$4:$B$9</c:f>
              <c:numCache>
                <c:formatCode>[$₦-470]#,##0</c:formatCode>
                <c:ptCount val="5"/>
                <c:pt idx="0">
                  <c:v>69900</c:v>
                </c:pt>
                <c:pt idx="1">
                  <c:v>182094</c:v>
                </c:pt>
                <c:pt idx="2">
                  <c:v>207910</c:v>
                </c:pt>
                <c:pt idx="3">
                  <c:v>265370</c:v>
                </c:pt>
                <c:pt idx="4">
                  <c:v>137712</c:v>
                </c:pt>
              </c:numCache>
            </c:numRef>
          </c:val>
          <c:extLst>
            <c:ext xmlns:c16="http://schemas.microsoft.com/office/drawing/2014/chart" uri="{C3380CC4-5D6E-409C-BE32-E72D297353CC}">
              <c16:uniqueId val="{00000000-7763-4DD7-8228-A872E5D9D01B}"/>
            </c:ext>
          </c:extLst>
        </c:ser>
        <c:ser>
          <c:idx val="1"/>
          <c:order val="1"/>
          <c:tx>
            <c:strRef>
              <c:f>'AVERAGE TRANSACTIONS'!$C$3</c:f>
              <c:strCache>
                <c:ptCount val="1"/>
                <c:pt idx="0">
                  <c:v>Average of Amount2</c:v>
                </c:pt>
              </c:strCache>
            </c:strRef>
          </c:tx>
          <c:spPr>
            <a:solidFill>
              <a:schemeClr val="accent2"/>
            </a:solidFill>
            <a:ln>
              <a:noFill/>
            </a:ln>
            <a:effectLst/>
          </c:spPr>
          <c:invertIfNegative val="0"/>
          <c:cat>
            <c:strRef>
              <c:f>'AVERAGE TRANSACTIONS'!$A$4:$A$9</c:f>
              <c:strCache>
                <c:ptCount val="5"/>
                <c:pt idx="0">
                  <c:v>Clothing</c:v>
                </c:pt>
                <c:pt idx="1">
                  <c:v>Flexing</c:v>
                </c:pt>
                <c:pt idx="2">
                  <c:v>Food &amp; Drinks</c:v>
                </c:pt>
                <c:pt idx="3">
                  <c:v>Housing &amp; Utilities</c:v>
                </c:pt>
                <c:pt idx="4">
                  <c:v>Personal Development</c:v>
                </c:pt>
              </c:strCache>
            </c:strRef>
          </c:cat>
          <c:val>
            <c:numRef>
              <c:f>'AVERAGE TRANSACTIONS'!$C$4:$C$9</c:f>
              <c:numCache>
                <c:formatCode>[$₦-470]#,##0</c:formatCode>
                <c:ptCount val="5"/>
                <c:pt idx="0">
                  <c:v>23300</c:v>
                </c:pt>
                <c:pt idx="1">
                  <c:v>13006.714285714286</c:v>
                </c:pt>
                <c:pt idx="2">
                  <c:v>8316.4</c:v>
                </c:pt>
                <c:pt idx="3">
                  <c:v>18955</c:v>
                </c:pt>
                <c:pt idx="4">
                  <c:v>12519.272727272728</c:v>
                </c:pt>
              </c:numCache>
            </c:numRef>
          </c:val>
          <c:extLst>
            <c:ext xmlns:c16="http://schemas.microsoft.com/office/drawing/2014/chart" uri="{C3380CC4-5D6E-409C-BE32-E72D297353CC}">
              <c16:uniqueId val="{00000001-7763-4DD7-8228-A872E5D9D01B}"/>
            </c:ext>
          </c:extLst>
        </c:ser>
        <c:dLbls>
          <c:showLegendKey val="0"/>
          <c:showVal val="0"/>
          <c:showCatName val="0"/>
          <c:showSerName val="0"/>
          <c:showPercent val="0"/>
          <c:showBubbleSize val="0"/>
        </c:dLbls>
        <c:gapWidth val="182"/>
        <c:axId val="1648865408"/>
        <c:axId val="1543167296"/>
      </c:barChart>
      <c:catAx>
        <c:axId val="1648865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167296"/>
        <c:crosses val="autoZero"/>
        <c:auto val="1"/>
        <c:lblAlgn val="ctr"/>
        <c:lblOffset val="100"/>
        <c:noMultiLvlLbl val="0"/>
      </c:catAx>
      <c:valAx>
        <c:axId val="1543167296"/>
        <c:scaling>
          <c:orientation val="minMax"/>
        </c:scaling>
        <c:delete val="1"/>
        <c:axPos val="b"/>
        <c:numFmt formatCode="[$₦-470]#,##0" sourceLinked="1"/>
        <c:majorTickMark val="none"/>
        <c:minorTickMark val="none"/>
        <c:tickLblPos val="nextTo"/>
        <c:crossAx val="164886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[Personal_Finance_Dashboard.xlsx]CREDIT VS CASH!PivotTable1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CREDIT</a:t>
            </a:r>
            <a:r>
              <a:rPr lang="en-US" baseline="0"/>
              <a:t> CARD VS CASH</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'CREDIT VS CASH'!$B$3:$B$4</c:f>
              <c:strCache>
                <c:ptCount val="1"/>
                <c:pt idx="0">
                  <c:v>Expenses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'CREDIT VS CASH'!$A$5:$A$7</c:f>
              <c:strCache>
                <c:ptCount val="2"/>
                <c:pt idx="0">
                  <c:v>Cash</c:v>
                </c:pt>
                <c:pt idx="1">
                  <c:v>Credit Card</c:v>
                </c:pt>
              </c:strCache>
            </c:strRef>
          </c:cat>
          <c:val>
            <c:numRef>
              <c:f>'CREDIT VS CASH'!$B$5:$B$7</c:f>
              <c:numCache>
                <c:formatCode>[$₦-470]#,##0</c:formatCode>
                <c:ptCount val="2"/>
                <c:pt idx="0">
                  <c:v>379302</c:v>
                </c:pt>
                <c:pt idx="1">
                  <c:v>483684</c:v>
                </c:pt>
              </c:numCache>
            </c:numRef>
          </c:val>
          <c:extLst>
            <c:ext xmlns:c16="http://schemas.microsoft.com/office/drawing/2014/chart" uri="{C3380CC4-5D6E-409C-BE32-E72D297353CC}">
              <c16:uniqueId val="{00000000-C4E1-4F0F-9717-1F56FE4D4E69}"/>
            </c:ext>
          </c:extLst>
        </c:ser>
        <c:ser>
          <c:idx val="1"/>
          <c:order val="1"/>
          <c:tx>
            <c:strRef>
              <c:f>'CREDIT VS CASH'!$C$3:$C$4</c:f>
              <c:strCache>
                <c:ptCount val="1"/>
                <c:pt idx="0">
                  <c:v>Income</c:v>
                </c:pt>
              </c:strCache>
            </c:strRef>
          </c:tx>
          <c:spPr>
            <a:solidFill>
              <a:schemeClr val="accent6"/>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'CREDIT VS CASH'!$A$5:$A$7</c:f>
              <c:strCache>
                <c:ptCount val="2"/>
                <c:pt idx="0">
                  <c:v>Cash</c:v>
                </c:pt>
                <c:pt idx="1">
                  <c:v>Credit Card</c:v>
                </c:pt>
              </c:strCache>
            </c:strRef>
          </c:cat>
          <c:val>
            <c:numRef>
              <c:f>'CREDIT VS CASH'!$C$5:$C$7</c:f>
              <c:numCache>
                <c:formatCode>[$₦-470]#,##0</c:formatCode>
                <c:ptCount val="2"/>
                <c:pt idx="1">
                  <c:v>1445900</c:v>
                </c:pt>
              </c:numCache>
            </c:numRef>
          </c:val>
          <c:extLst>
            <c:ext xmlns:c16="http://schemas.microsoft.com/office/drawing/2014/chart" uri="{C3380CC4-5D6E-409C-BE32-E72D297353CC}">
              <c16:uniqueId val="{00000001-C4E1-4F0F-9717-1F56FE4D4E69}"/>
            </c:ext>
          </c:extLst>
        </c:ser>
        <c:dLbls>
          <c:dLblPos val="inEnd"/>
          <c:showLegendKey val="0"/>
          <c:showVal val="1"/>
          <c:showCatName val="0"/>
          <c:showSerName val="0"/>
          <c:showPercent val="0"/>
          <c:showBubbleSize val="0"/>
        </c:dLbls>
        <c:gapWidth val="65"/>
        <c:axId val="1529847968"/>
        <c:axId val="1204455840"/>
      </c:barChart>
      <c:catAx>
        <c:axId val="15298479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04455840"/>
        <c:crosses val="autoZero"/>
        <c:auto val="1"/>
        <c:lblAlgn val="ctr"/>
        <c:lblOffset val="100"/>
        <c:noMultiLvlLbl val="0"/>
      </c:catAx>
      <c:valAx>
        <c:axId val="120445584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70]#,##0" sourceLinked="1"/>
        <c:majorTickMark val="none"/>
        <c:minorTickMark val="none"/>
        <c:tickLblPos val="nextTo"/>
        <c:crossAx val="152984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[Personal_Finance_Dashboard.xlsx]COUNTS!PivotTable1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b="1"/>
              <a:t>EXPENSE</a:t>
            </a:r>
            <a:r>
              <a:rPr lang="en-US" b="1" baseline="0"/>
              <a:t> TRANSACTION COUNT BY CATEGORY</a:t>
            </a:r>
            <a:endParaRPr lang="en-US" b="1"/>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s>
    <c:plotArea>
      <c:layout/>
      <c:barChart>
        <c:barDir val="bar"/>
        <c:grouping val="stacked"/>
        <c:varyColors val="0"/>
        <c:ser>
          <c:idx val="0"/>
          <c:order val="0"/>
          <c:tx>
            <c:strRef>
              <c:f>COUNTS!$B$3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A869-4EE4-BAA2-3A379F29FA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COUNTS!$A$4:$A$9</c:f>
              <c:strCache>
                <c:ptCount val="5"/>
                <c:pt idx="0">
                  <c:v>Food &amp; Drinks</c:v>
                </c:pt>
                <c:pt idx="1">
                  <c:v>Housing &amp; Utilities</c:v>
                </c:pt>
                <c:pt idx="2">
                  <c:v>Flexing</c:v>
                </c:pt>
                <c:pt idx="3">
                  <c:v>Personal Development</c:v>
                </c:pt>
                <c:pt idx="4">
                  <c:v>Clothing</c:v>
                </c:pt>
              </c:strCache>
            </c:strRef>
          </c:cat>
          <c:val>
            <c:numRef>
              <c:f>COUNTS!$B$4:$B$9</c:f>
              <c:numCache>
                <c:formatCode>General</c:formatCode>
                <c:ptCount val="5"/>
                <c:pt idx="0">
                  <c:v>25</c:v>
                </c:pt>
                <c:pt idx="1">
                  <c:v>14</c:v>
                </c:pt>
                <c:pt idx="2">
                  <c:v>14</c:v>
                </c:pt>
                <c:pt idx="3">
                  <c:v>11</c:v>
                </c:pt>
                <c:pt idx="4">
                  <c:v>3</c:v>
                </c:pt>
              </c:numCache>
            </c:numRef>
          </c:val>
          <c:extLst>
            <c:ext xmlns:c16="http://schemas.microsoft.com/office/drawing/2014/chart" uri="{C3380CC4-5D6E-409C-BE32-E72D297353CC}">
              <c16:uniqueId val="{00000000-A869-4EE4-BAA2-3A379F29FA86}"/>
            </c:ext>
          </c:extLst>
        </c:ser>
        <c:dLbls>
          <c:dLblPos val="ctr"/>
          <c:showLegendKey val="0"/>
          <c:showVal val="1"/>
          <c:showCatName val="0"/>
          <c:showSerName val="0"/>
          <c:showPercent val="0"/>
          <c:showBubbleSize val="0"/>
        </c:dLbls>
        <c:gapWidth val="79"/>
        <c:overlap val="100"/>
        <c:axId val="929014287"/>
        <c:axId val="995182527"/>
      </c:barChart>
      <c:catAx>
        <c:axId val="929014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all" spc="120" normalizeH="0" baseline="0">
                <a:solidFill>
                  <a:schemeClr val="tx1">
                    <a:lumMod val="65000"/>
                    <a:lumOff val="35000"/>
                  </a:schemeClr>
                </a:solidFill>
                <a:latin typeface="+mn-lt"/>
                <a:ea typeface="+mn-ea"/>
                <a:cs typeface="+mn-cs"/>
              </a:defRPr>
            </a:pPr>
            <a:endParaRPr lang="en-US"/>
          </a:p>
        </c:txPr>
        <c:crossAx val="995182527"/>
        <c:crosses val="autoZero"/>
        <c:auto val="1"/>
        <c:lblAlgn val="ctr"/>
        <c:lblOffset val="100"/>
        <c:noMultiLvlLbl val="0"/>
      </c:catAx>
      <c:valAx>
        <c:axId val="995182527"/>
        <c:scaling>
          <c:orientation val="minMax"/>
        </c:scaling>
        <c:delete val="1"/>
        <c:axPos val="b"/>
        <c:numFmt formatCode="General" sourceLinked="1"/>
        <c:majorTickMark val="none"/>
        <c:minorTickMark val="none"/>
        <c:tickLblPos val="nextTo"/>
        <c:crossAx val="92901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5</xdr:col>
      <xdr:colOff>8520</xdr:colOff>
      <xdr:row>6</xdr:row>
      <xdr:rowOff>143614</xdr:rowOff>
    </xdr:from>
    <xdr:to>
      <xdr:col>9</xdr:col>
      <xdr:colOff>495299</xdr:colOff>
      <xdr:row>16</xdr:row>
      <xdr:rowOff>8798</xdr:rowOff>
    </xdr:to>
    <xdr:graphicFrame macro="">
      <xdr:nvGraphicFramePr>
        <xdr:cNvPr id="3" name="Chart 2">
          <a:extLst>
            <a:ext uri="{FF2B5EF4-FFF2-40B4-BE49-F238E27FC236}">
              <a16:creationId xmlns:a16="http://schemas.microsoft.com/office/drawing/2014/main" id="{01BB39E4-5542-41D9-ADDF-38B990225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82062</xdr:colOff>
      <xdr:row>19</xdr:row>
      <xdr:rowOff>126851</xdr:rowOff>
    </xdr:from>
    <xdr:to>
      <xdr:col>5</xdr:col>
      <xdr:colOff>63500</xdr:colOff>
      <xdr:row>28</xdr:row>
      <xdr:rowOff>131882</xdr:rowOff>
    </xdr:to>
    <xdr:graphicFrame macro="">
      <xdr:nvGraphicFramePr>
        <xdr:cNvPr id="4" name="Chart 3">
          <a:extLst>
            <a:ext uri="{FF2B5EF4-FFF2-40B4-BE49-F238E27FC236}">
              <a16:creationId xmlns:a16="http://schemas.microsoft.com/office/drawing/2014/main" id="{51666E52-A163-4D17-AEF5-AA981BBEC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162658</xdr:colOff>
      <xdr:row>31</xdr:row>
      <xdr:rowOff>171566</xdr:rowOff>
    </xdr:from>
    <xdr:to>
      <xdr:col>10</xdr:col>
      <xdr:colOff>24911</xdr:colOff>
      <xdr:row>41</xdr:row>
      <xdr:rowOff>38099</xdr:rowOff>
    </xdr:to>
    <xdr:graphicFrame macro="">
      <xdr:nvGraphicFramePr>
        <xdr:cNvPr id="6" name="Chart 5">
          <a:extLst>
            <a:ext uri="{FF2B5EF4-FFF2-40B4-BE49-F238E27FC236}">
              <a16:creationId xmlns:a16="http://schemas.microsoft.com/office/drawing/2014/main" id="{BCD623A7-8246-4140-A594-470086354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140187</xdr:colOff>
      <xdr:row>19</xdr:row>
      <xdr:rowOff>114644</xdr:rowOff>
    </xdr:from>
    <xdr:to>
      <xdr:col>10</xdr:col>
      <xdr:colOff>34925</xdr:colOff>
      <xdr:row>28</xdr:row>
      <xdr:rowOff>120650</xdr:rowOff>
    </xdr:to>
    <xdr:graphicFrame macro="">
      <xdr:nvGraphicFramePr>
        <xdr:cNvPr id="8" name="Chart 7">
          <a:extLst>
            <a:ext uri="{FF2B5EF4-FFF2-40B4-BE49-F238E27FC236}">
              <a16:creationId xmlns:a16="http://schemas.microsoft.com/office/drawing/2014/main" id="{70F30EB7-790E-4E22-BE1A-F8C8BDC07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96764</xdr:colOff>
      <xdr:row>23</xdr:row>
      <xdr:rowOff>159502</xdr:rowOff>
    </xdr:from>
    <xdr:to>
      <xdr:col>12</xdr:col>
      <xdr:colOff>635644</xdr:colOff>
      <xdr:row>30</xdr:row>
      <xdr:rowOff>56744</xdr:rowOff>
    </xdr:to>
    <mc:AlternateContent xmlns:mc="http://schemas.openxmlformats.org/markup-compatibility/2006" xmlns:a14="http://schemas.microsoft.com/office/drawing/2010/main">
      <mc:Choice Requires="a14">
        <xdr:graphicFrame macro="">
          <xdr:nvGraphicFramePr>
            <xdr:cNvPr id="5" name="Fund Class">
              <a:extLst>
                <a:ext uri="{FF2B5EF4-FFF2-40B4-BE49-F238E27FC236}">
                  <a16:creationId xmlns:a16="http://schemas.microsoft.com/office/drawing/2014/main" id="{7BBB19DA-9418-DF0E-8898-42FE44E7C2D4}"/>
                </a:ext>
              </a:extLst>
            </xdr:cNvPr>
            <xdr:cNvGraphicFramePr/>
          </xdr:nvGraphicFramePr>
          <xdr:xfrm>
            <a:off x="0" y="0"/>
            <a:ext cx="0" cy="0"/>
          </xdr:xfrm>
          <a:graphic>
            <a:graphicData uri="http://schemas.microsoft.com/office/drawing/2010/slicer">
              <sle:slicer xmlns:sle="http://schemas.microsoft.com/office/drawing/2010/slicer" name="Fund Class"/>
            </a:graphicData>
          </a:graphic>
        </xdr:graphicFrame>
      </mc:Choice>
      <mc:Fallback xmlns="">
        <xdr:sp macro="" textlink="">
          <xdr:nvSpPr>
            <xdr:cNvPr id="0" name=""/>
            <xdr:cNvSpPr>
              <a:spLocks noTextEdit="1"/>
            </xdr:cNvSpPr>
          </xdr:nvSpPr>
          <xdr:spPr>
            <a:xfrm>
              <a:off x="6485841" y="4793048"/>
              <a:ext cx="1816695" cy="1169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97508</xdr:colOff>
      <xdr:row>32</xdr:row>
      <xdr:rowOff>13901</xdr:rowOff>
    </xdr:from>
    <xdr:to>
      <xdr:col>12</xdr:col>
      <xdr:colOff>638707</xdr:colOff>
      <xdr:row>37</xdr:row>
      <xdr:rowOff>42985</xdr:rowOff>
    </xdr:to>
    <mc:AlternateContent xmlns:mc="http://schemas.openxmlformats.org/markup-compatibility/2006" xmlns:a14="http://schemas.microsoft.com/office/drawing/2010/main">
      <mc:Choice Requires="a14">
        <xdr:graphicFrame macro="">
          <xdr:nvGraphicFramePr>
            <xdr:cNvPr id="7" name="Payment Method">
              <a:extLst>
                <a:ext uri="{FF2B5EF4-FFF2-40B4-BE49-F238E27FC236}">
                  <a16:creationId xmlns:a16="http://schemas.microsoft.com/office/drawing/2014/main" id="{27C149EA-D1AD-338E-F0ED-1793D1A14E8E}"/>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6486585" y="6282816"/>
              <a:ext cx="1819014" cy="937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97061</xdr:colOff>
      <xdr:row>13</xdr:row>
      <xdr:rowOff>163126</xdr:rowOff>
    </xdr:from>
    <xdr:to>
      <xdr:col>13</xdr:col>
      <xdr:colOff>8304</xdr:colOff>
      <xdr:row>23</xdr:row>
      <xdr:rowOff>37443</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CF1AAD20-6729-7AF5-BDD0-6A30F5D2C65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486138" y="2979595"/>
              <a:ext cx="1827966" cy="17083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84667</xdr:colOff>
      <xdr:row>6</xdr:row>
      <xdr:rowOff>118533</xdr:rowOff>
    </xdr:from>
    <xdr:to>
      <xdr:col>4</xdr:col>
      <xdr:colOff>508000</xdr:colOff>
      <xdr:row>16</xdr:row>
      <xdr:rowOff>0</xdr:rowOff>
    </xdr:to>
    <xdr:graphicFrame macro="">
      <xdr:nvGraphicFramePr>
        <xdr:cNvPr id="13" name="Chart 12">
          <a:extLst>
            <a:ext uri="{FF2B5EF4-FFF2-40B4-BE49-F238E27FC236}">
              <a16:creationId xmlns:a16="http://schemas.microsoft.com/office/drawing/2014/main" id="{4602F300-ABAA-4B2F-8A5B-26DA2BD29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46566</xdr:colOff>
      <xdr:row>31</xdr:row>
      <xdr:rowOff>173567</xdr:rowOff>
    </xdr:from>
    <xdr:to>
      <xdr:col>5</xdr:col>
      <xdr:colOff>46566</xdr:colOff>
      <xdr:row>41</xdr:row>
      <xdr:rowOff>38100</xdr:rowOff>
    </xdr:to>
    <xdr:graphicFrame macro="">
      <xdr:nvGraphicFramePr>
        <xdr:cNvPr id="16" name="Chart 15">
          <a:extLst>
            <a:ext uri="{FF2B5EF4-FFF2-40B4-BE49-F238E27FC236}">
              <a16:creationId xmlns:a16="http://schemas.microsoft.com/office/drawing/2014/main" id="{8501F28A-C433-47EC-B32B-440227E45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104988</xdr:colOff>
      <xdr:row>6</xdr:row>
      <xdr:rowOff>133774</xdr:rowOff>
    </xdr:from>
    <xdr:to>
      <xdr:col>13</xdr:col>
      <xdr:colOff>16088</xdr:colOff>
      <xdr:row>12</xdr:row>
      <xdr:rowOff>148168</xdr:rowOff>
    </xdr:to>
    <mc:AlternateContent xmlns:mc="http://schemas.openxmlformats.org/markup-compatibility/2006" xmlns:a14="http://schemas.microsoft.com/office/drawing/2010/main">
      <mc:Choice Requires="a14">
        <xdr:graphicFrame macro="">
          <xdr:nvGraphicFramePr>
            <xdr:cNvPr id="10" name="Months (Date)">
              <a:extLst>
                <a:ext uri="{FF2B5EF4-FFF2-40B4-BE49-F238E27FC236}">
                  <a16:creationId xmlns:a16="http://schemas.microsoft.com/office/drawing/2014/main" id="{CB23818D-26B2-C545-A19F-E4A466987870}"/>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6497321" y="1678941"/>
              <a:ext cx="1828800" cy="1106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493395</xdr:colOff>
      <xdr:row>0</xdr:row>
      <xdr:rowOff>59055</xdr:rowOff>
    </xdr:from>
    <xdr:to>
      <xdr:col>9</xdr:col>
      <xdr:colOff>584835</xdr:colOff>
      <xdr:row>15</xdr:row>
      <xdr:rowOff>59055</xdr:rowOff>
    </xdr:to>
    <xdr:graphicFrame macro="">
      <xdr:nvGraphicFramePr>
        <xdr:cNvPr id="3" name="Chart 2">
          <a:extLst>
            <a:ext uri="{FF2B5EF4-FFF2-40B4-BE49-F238E27FC236}">
              <a16:creationId xmlns:a16="http://schemas.microsoft.com/office/drawing/2014/main" id="{35C8C7CD-4F99-E314-8873-FBF534BC7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121920</xdr:colOff>
      <xdr:row>7</xdr:row>
      <xdr:rowOff>167640</xdr:rowOff>
    </xdr:from>
    <xdr:to>
      <xdr:col>11</xdr:col>
      <xdr:colOff>350520</xdr:colOff>
      <xdr:row>20</xdr:row>
      <xdr:rowOff>171450</xdr:rowOff>
    </xdr:to>
    <xdr:graphicFrame macro="">
      <xdr:nvGraphicFramePr>
        <xdr:cNvPr id="4" name="Chart 3">
          <a:extLst>
            <a:ext uri="{FF2B5EF4-FFF2-40B4-BE49-F238E27FC236}">
              <a16:creationId xmlns:a16="http://schemas.microsoft.com/office/drawing/2014/main" id="{6C706F65-11AA-3045-31CE-98298B9C1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424815</xdr:colOff>
      <xdr:row>1</xdr:row>
      <xdr:rowOff>167639</xdr:rowOff>
    </xdr:from>
    <xdr:to>
      <xdr:col>6</xdr:col>
      <xdr:colOff>327660</xdr:colOff>
      <xdr:row>14</xdr:row>
      <xdr:rowOff>161924</xdr:rowOff>
    </xdr:to>
    <xdr:graphicFrame macro="">
      <xdr:nvGraphicFramePr>
        <xdr:cNvPr id="2" name="Chart 1">
          <a:extLst>
            <a:ext uri="{FF2B5EF4-FFF2-40B4-BE49-F238E27FC236}">
              <a16:creationId xmlns:a16="http://schemas.microsoft.com/office/drawing/2014/main" id="{76022F92-AA84-BE02-B33E-3FA0C8839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405765</xdr:colOff>
      <xdr:row>0</xdr:row>
      <xdr:rowOff>169545</xdr:rowOff>
    </xdr:from>
    <xdr:to>
      <xdr:col>9</xdr:col>
      <xdr:colOff>497205</xdr:colOff>
      <xdr:row>15</xdr:row>
      <xdr:rowOff>169545</xdr:rowOff>
    </xdr:to>
    <xdr:graphicFrame macro="">
      <xdr:nvGraphicFramePr>
        <xdr:cNvPr id="2" name="Chart 1">
          <a:extLst>
            <a:ext uri="{FF2B5EF4-FFF2-40B4-BE49-F238E27FC236}">
              <a16:creationId xmlns:a16="http://schemas.microsoft.com/office/drawing/2014/main" id="{8D54A8AC-E0EF-DB2A-A3EE-10816255F6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20955</xdr:colOff>
      <xdr:row>0</xdr:row>
      <xdr:rowOff>120015</xdr:rowOff>
    </xdr:from>
    <xdr:to>
      <xdr:col>10</xdr:col>
      <xdr:colOff>112395</xdr:colOff>
      <xdr:row>15</xdr:row>
      <xdr:rowOff>120015</xdr:rowOff>
    </xdr:to>
    <xdr:graphicFrame macro="">
      <xdr:nvGraphicFramePr>
        <xdr:cNvPr id="2" name="Chart 1">
          <a:extLst>
            <a:ext uri="{FF2B5EF4-FFF2-40B4-BE49-F238E27FC236}">
              <a16:creationId xmlns:a16="http://schemas.microsoft.com/office/drawing/2014/main" id="{E7A03990-0841-D0CB-313D-22516047D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95250</xdr:colOff>
      <xdr:row>1</xdr:row>
      <xdr:rowOff>49530</xdr:rowOff>
    </xdr:from>
    <xdr:to>
      <xdr:col>9</xdr:col>
      <xdr:colOff>369570</xdr:colOff>
      <xdr:row>16</xdr:row>
      <xdr:rowOff>49530</xdr:rowOff>
    </xdr:to>
    <xdr:graphicFrame macro="">
      <xdr:nvGraphicFramePr>
        <xdr:cNvPr id="2" name="Chart 1">
          <a:extLst>
            <a:ext uri="{FF2B5EF4-FFF2-40B4-BE49-F238E27FC236}">
              <a16:creationId xmlns:a16="http://schemas.microsoft.com/office/drawing/2014/main" id="{00C61B11-9F9B-6DD9-A179-68B980EC8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611505</xdr:colOff>
      <xdr:row>1</xdr:row>
      <xdr:rowOff>139065</xdr:rowOff>
    </xdr:from>
    <xdr:to>
      <xdr:col>11</xdr:col>
      <xdr:colOff>62865</xdr:colOff>
      <xdr:row>16</xdr:row>
      <xdr:rowOff>139065</xdr:rowOff>
    </xdr:to>
    <xdr:graphicFrame macro="">
      <xdr:nvGraphicFramePr>
        <xdr:cNvPr id="2" name="Chart 1">
          <a:extLst>
            <a:ext uri="{FF2B5EF4-FFF2-40B4-BE49-F238E27FC236}">
              <a16:creationId xmlns:a16="http://schemas.microsoft.com/office/drawing/2014/main" id="{58F757F1-CBD9-7ADD-4CE1-12802AF3A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226695</xdr:colOff>
      <xdr:row>0</xdr:row>
      <xdr:rowOff>93345</xdr:rowOff>
    </xdr:from>
    <xdr:to>
      <xdr:col>12</xdr:col>
      <xdr:colOff>43815</xdr:colOff>
      <xdr:row>16</xdr:row>
      <xdr:rowOff>93345</xdr:rowOff>
    </xdr:to>
    <xdr:graphicFrame macro="">
      <xdr:nvGraphicFramePr>
        <xdr:cNvPr id="2" name="Chart 1">
          <a:extLst>
            <a:ext uri="{FF2B5EF4-FFF2-40B4-BE49-F238E27FC236}">
              <a16:creationId xmlns:a16="http://schemas.microsoft.com/office/drawing/2014/main" id="{CF456966-DAF1-7566-0F9E-68E37912E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299085</xdr:colOff>
      <xdr:row>1</xdr:row>
      <xdr:rowOff>100965</xdr:rowOff>
    </xdr:from>
    <xdr:to>
      <xdr:col>9</xdr:col>
      <xdr:colOff>390525</xdr:colOff>
      <xdr:row>16</xdr:row>
      <xdr:rowOff>100965</xdr:rowOff>
    </xdr:to>
    <xdr:graphicFrame macro="">
      <xdr:nvGraphicFramePr>
        <xdr:cNvPr id="2" name="Chart 1">
          <a:extLst>
            <a:ext uri="{FF2B5EF4-FFF2-40B4-BE49-F238E27FC236}">
              <a16:creationId xmlns:a16="http://schemas.microsoft.com/office/drawing/2014/main" id="{B593ADE1-A3C0-2322-5722-F92293A97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RA" refreshedDate="46301.041529513888" createdVersion="8" refreshedVersion="8" minRefreshableVersion="3" recordCount="72" xr:uid="{2622E08B-6D50-4FE2-BD96-998BA691F8CA}">
  <cacheSource type="worksheet">
    <worksheetSource name="Table1"/>
  </cacheSource>
  <cacheFields count="9">
    <cacheField name="Date" numFmtId="14">
      <sharedItems containsSemiMixedTypes="0" containsNonDate="0" containsDate="1" containsString="0" minDate="2022-10-01T00:00:00" maxDate="2023-01-01T00:00:00" count="50">
        <d v="2022-10-01T00:00:00"/>
        <d v="2022-10-02T00:00:00"/>
        <d v="2022-10-03T00:00:00"/>
        <d v="2022-10-08T00:00:00"/>
        <d v="2022-10-09T00:00:00"/>
        <d v="2022-10-10T00:00:00"/>
        <d v="2022-10-11T00:00:00"/>
        <d v="2022-10-16T00:00:00"/>
        <d v="2022-10-19T00:00:00"/>
        <d v="2022-10-20T00:00:00"/>
        <d v="2022-10-24T00:00:00"/>
        <d v="2022-10-25T00:00:00"/>
        <d v="2022-10-26T00:00:00"/>
        <d v="2022-10-27T00:00:00"/>
        <d v="2022-10-28T00:00:00"/>
        <d v="2022-10-30T00:00:00"/>
        <d v="2022-11-01T00:00:00"/>
        <d v="2022-11-04T00:00:00"/>
        <d v="2022-11-07T00:00:00"/>
        <d v="2022-11-09T00:00:00"/>
        <d v="2022-11-10T00:00:00"/>
        <d v="2022-11-11T00:00:00"/>
        <d v="2022-11-13T00:00:00"/>
        <d v="2022-11-16T00:00:00"/>
        <d v="2022-11-17T00:00:00"/>
        <d v="2022-11-19T00:00:00"/>
        <d v="2022-11-20T00:00:00"/>
        <d v="2022-11-23T00:00:00"/>
        <d v="2022-11-24T00:00:00"/>
        <d v="2022-11-25T00:00:00"/>
        <d v="2022-11-26T00:00:00"/>
        <d v="2022-11-27T00:00:00"/>
        <d v="2022-11-28T00:00:00"/>
        <d v="2022-11-30T00:00:00"/>
        <d v="2022-12-01T00:00:00"/>
        <d v="2022-12-02T00:00:00"/>
        <d v="2022-12-10T00:00:00"/>
        <d v="2022-12-12T00:00:00"/>
        <d v="2022-12-13T00:00:00"/>
        <d v="2022-12-14T00:00:00"/>
        <d v="2022-12-15T00:00:00"/>
        <d v="2022-12-19T00:00:00"/>
        <d v="2022-12-20T00:00:00"/>
        <d v="2022-12-22T00:00:00"/>
        <d v="2022-12-25T00:00:00"/>
        <d v="2022-12-26T00:00:00"/>
        <d v="2022-12-27T00:00:00"/>
        <d v="2022-12-28T00:00:00"/>
        <d v="2022-12-29T00:00:00"/>
        <d v="2022-12-31T00:00:00"/>
      </sharedItems>
      <fieldGroup par="8"/>
    </cacheField>
    <cacheField name="Description" numFmtId="0">
      <sharedItems containsBlank="1" count="41">
        <s v="Salary"/>
        <s v="Date night with Amiyah"/>
        <s v="Lunch at Shiro"/>
        <s v="10Alytics Training"/>
        <s v="Breakfast at KFC"/>
        <s v="Lunch at Chicken Republic"/>
        <s v="Tennis Racket"/>
        <s v="Night at club"/>
        <s v="Coffee at Starbucks"/>
        <s v="Petrol for car"/>
        <s v="Gym subscription"/>
        <s v="McDonald's brunch"/>
        <s v="Spotify subscription"/>
        <s v="Lunch at Buzz"/>
        <s v="Mainland Block Party"/>
        <s v="2 shirts and 4 trousers"/>
        <s v="House Rent"/>
        <s v="Internet and Phone Subscription"/>
        <s v="Coffee at Buzz"/>
        <s v="Movie at cinema"/>
        <s v="Grocery shopping"/>
        <s v="Microsoft Office Purchase"/>
        <s v="Breakfast at Chicken Republic"/>
        <s v="Deodorant and Perfume purchase"/>
        <s v="Birthday party"/>
        <s v="Udemy course"/>
        <s v="Sneakers purchase"/>
        <s v="Business School Training"/>
        <s v="New books purchase"/>
        <s v="Shawarma at Yaba - Lunch"/>
        <s v="Christmas bonus"/>
        <s v="Interest from Investment"/>
        <s v="Davido's concert"/>
        <s v="Games Night contribution"/>
        <s v="Boat cruise"/>
        <s v="Christmas house decoration"/>
        <s v="Apple watch purchase"/>
        <s v="Dinner at Eko Hotel"/>
        <s v="Lunch at Kapadoccia"/>
        <s v="Laptop Repair"/>
        <m u="1"/>
      </sharedItems>
    </cacheField>
    <cacheField name="Category" numFmtId="0">
      <sharedItems containsBlank="1" count="7">
        <s v="Income"/>
        <s v="Flexing"/>
        <s v="Food &amp; Drinks"/>
        <s v="Personal Development"/>
        <s v="Housing &amp; Utilities"/>
        <s v="Clothing"/>
        <m u="1"/>
      </sharedItems>
    </cacheField>
    <cacheField name="Fund Class" numFmtId="0">
      <sharedItems containsBlank="1" count="3">
        <s v="Income"/>
        <s v="Expenses"/>
        <m u="1"/>
      </sharedItems>
    </cacheField>
    <cacheField name="Payment Method" numFmtId="0">
      <sharedItems containsBlank="1" count="3">
        <s v="Credit Card"/>
        <s v="Cash"/>
        <m u="1"/>
      </sharedItems>
    </cacheField>
    <cacheField name="Amount" numFmtId="164">
      <sharedItems containsSemiMixedTypes="0" containsString="0" containsNumber="1" containsInteger="1" minValue="1940" maxValue="400000" count="59">
        <n v="400000"/>
        <n v="7092"/>
        <n v="5403"/>
        <n v="60000"/>
        <n v="8844"/>
        <n v="7752"/>
        <n v="6621"/>
        <n v="5347"/>
        <n v="5366"/>
        <n v="7449"/>
        <n v="9800"/>
        <n v="8492"/>
        <n v="4300"/>
        <n v="8647"/>
        <n v="6714"/>
        <n v="5079"/>
        <n v="17600"/>
        <n v="50000"/>
        <n v="10000"/>
        <n v="8963"/>
        <n v="6509"/>
        <n v="6641"/>
        <n v="1940"/>
        <n v="5950"/>
        <n v="7957"/>
        <n v="8782"/>
        <n v="9642"/>
        <n v="12109"/>
        <n v="7149"/>
        <n v="6392"/>
        <n v="5014"/>
        <n v="8691"/>
        <n v="6026"/>
        <n v="10854"/>
        <n v="12734"/>
        <n v="10900"/>
        <n v="8713"/>
        <n v="14300"/>
        <n v="11845"/>
        <n v="8349"/>
        <n v="18000"/>
        <n v="11657"/>
        <n v="150000"/>
        <n v="95900"/>
        <n v="5500"/>
        <n v="15000"/>
        <n v="32300"/>
        <n v="35900"/>
        <n v="38000"/>
        <n v="6878"/>
        <n v="5446"/>
        <n v="7616"/>
        <n v="5718"/>
        <n v="6383"/>
        <n v="11670"/>
        <n v="8108"/>
        <n v="6675"/>
        <n v="65900"/>
        <n v="6189"/>
      </sharedItems>
    </cacheField>
    <cacheField name="Expense Type" numFmtId="164">
      <sharedItems/>
    </cacheField>
    <cacheField name="Days (Date)" numFmtId="0" databaseField="0">
      <fieldGroup base="0">
        <rangePr groupBy="days" startDate="2022-10-01T00:00:00" endDate="2023-01-01T00:00:00"/>
        <groupItems count="368">
          <s v="&lt;10/1/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3"/>
        </groupItems>
      </fieldGroup>
    </cacheField>
    <cacheField name="Months (Date)" numFmtId="0" databaseField="0">
      <fieldGroup base="0">
        <rangePr groupBy="months" startDate="2022-10-01T00:00:00" endDate="2023-01-01T00:00:00"/>
        <groupItems count="14">
          <s v="&lt;10/1/2022"/>
          <s v="Jan"/>
          <s v="Feb"/>
          <s v="Mar"/>
          <s v="Apr"/>
          <s v="May"/>
          <s v="Jun"/>
          <s v="Jul"/>
          <s v="Aug"/>
          <s v="Sep"/>
          <s v="Oct"/>
          <s v="Nov"/>
          <s v="Dec"/>
          <s v="&gt;1/1/2023"/>
        </groupItems>
      </fieldGroup>
    </cacheField>
  </cacheFields>
  <extLst>
    <ext xmlns:x14="http://schemas.microsoft.com/office/spreadsheetml/2009/9/main" uri="{725AE2AE-9491-48be-B2B4-4EB974FC3084}">
      <x14:pivotCacheDefinition pivotCacheId="7173080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RA" refreshedDate="46301.041530324073" createdVersion="8" refreshedVersion="8" minRefreshableVersion="3" recordCount="72" xr:uid="{D295FD2B-64EB-44F5-B4F8-3FF28CB11FCD}">
  <cacheSource type="worksheet">
    <worksheetSource ref="A1:G73" sheet="WORKING SHEET"/>
  </cacheSource>
  <cacheFields count="7">
    <cacheField name="Date" numFmtId="14">
      <sharedItems containsSemiMixedTypes="0" containsNonDate="0" containsDate="1" containsString="0" minDate="2022-10-01T00:00:00" maxDate="2023-01-01T00:00:00"/>
    </cacheField>
    <cacheField name="Description" numFmtId="0">
      <sharedItems/>
    </cacheField>
    <cacheField name="Category" numFmtId="0">
      <sharedItems/>
    </cacheField>
    <cacheField name="Fund Class" numFmtId="0">
      <sharedItems count="2">
        <s v="Income"/>
        <s v="Expenses"/>
      </sharedItems>
    </cacheField>
    <cacheField name="Payment Method" numFmtId="0">
      <sharedItems/>
    </cacheField>
    <cacheField name="Amount" numFmtId="164">
      <sharedItems containsSemiMixedTypes="0" containsString="0" containsNumber="1" containsInteger="1" minValue="1940" maxValue="400000"/>
    </cacheField>
    <cacheField name="Expense Type" numFmtId="164">
      <sharedItems count="3">
        <s v="Income"/>
        <s v="Discretionary"/>
        <s v="Fixed"/>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RA" refreshedDate="46297.051475925924" createdVersion="8" refreshedVersion="8" minRefreshableVersion="3" recordCount="72" xr:uid="{06D30661-28F5-43EC-9BE9-C0699AA7EA26}">
  <cacheSource type="worksheet">
    <worksheetSource ref="A1:F73" sheet="WORKING SHEET"/>
  </cacheSource>
  <cacheFields count="6">
    <cacheField name="Date" numFmtId="14">
      <sharedItems containsSemiMixedTypes="0" containsNonDate="0" containsDate="1" containsString="0" minDate="2022-10-01T00:00:00" maxDate="2023-01-01T00:00:00"/>
    </cacheField>
    <cacheField name="Description" numFmtId="0">
      <sharedItems/>
    </cacheField>
    <cacheField name="Category" numFmtId="0">
      <sharedItems containsBlank="1" count="7">
        <s v="Income"/>
        <s v="Flexing"/>
        <s v="Food &amp; Drinks"/>
        <s v="Personal Development"/>
        <s v="Housing &amp; Utilities"/>
        <s v="Clothing"/>
        <m u="1"/>
      </sharedItems>
    </cacheField>
    <cacheField name="Fund Class" numFmtId="0">
      <sharedItems containsBlank="1" count="3">
        <s v="Income"/>
        <s v="Expenses"/>
        <m u="1"/>
      </sharedItems>
    </cacheField>
    <cacheField name="Payment Method" numFmtId="0">
      <sharedItems containsBlank="1" count="3">
        <s v="Credit Card"/>
        <s v="Cash"/>
        <m u="1"/>
      </sharedItems>
    </cacheField>
    <cacheField name="Amount" numFmtId="164">
      <sharedItems containsSemiMixedTypes="0" containsString="0" containsNumber="1" containsInteger="1" minValue="1940" maxValue="400000"/>
    </cacheField>
  </cacheFields>
  <extLst>
    <ext xmlns:x14="http://schemas.microsoft.com/office/spreadsheetml/2009/9/main" uri="{725AE2AE-9491-48be-B2B4-4EB974FC3084}">
      <x14:pivotCacheDefinition pivotCacheId="21298244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x v="0"/>
    <x v="0"/>
    <x v="0"/>
    <x v="0"/>
    <x v="0"/>
    <x v="0"/>
    <s v="Income"/>
  </r>
  <r>
    <x v="0"/>
    <x v="1"/>
    <x v="1"/>
    <x v="1"/>
    <x v="0"/>
    <x v="1"/>
    <s v="Discretionary"/>
  </r>
  <r>
    <x v="1"/>
    <x v="2"/>
    <x v="2"/>
    <x v="1"/>
    <x v="1"/>
    <x v="2"/>
    <s v="Discretionary"/>
  </r>
  <r>
    <x v="2"/>
    <x v="3"/>
    <x v="3"/>
    <x v="1"/>
    <x v="1"/>
    <x v="3"/>
    <s v="Fixed"/>
  </r>
  <r>
    <x v="3"/>
    <x v="4"/>
    <x v="2"/>
    <x v="1"/>
    <x v="0"/>
    <x v="4"/>
    <s v="Discretionary"/>
  </r>
  <r>
    <x v="4"/>
    <x v="5"/>
    <x v="2"/>
    <x v="1"/>
    <x v="0"/>
    <x v="5"/>
    <s v="Discretionary"/>
  </r>
  <r>
    <x v="4"/>
    <x v="6"/>
    <x v="3"/>
    <x v="1"/>
    <x v="0"/>
    <x v="6"/>
    <s v="Discretionary"/>
  </r>
  <r>
    <x v="5"/>
    <x v="7"/>
    <x v="1"/>
    <x v="1"/>
    <x v="1"/>
    <x v="7"/>
    <s v="Discretionary"/>
  </r>
  <r>
    <x v="6"/>
    <x v="8"/>
    <x v="2"/>
    <x v="1"/>
    <x v="1"/>
    <x v="8"/>
    <s v="Discretionary"/>
  </r>
  <r>
    <x v="7"/>
    <x v="9"/>
    <x v="4"/>
    <x v="1"/>
    <x v="0"/>
    <x v="9"/>
    <s v="Discretionary"/>
  </r>
  <r>
    <x v="8"/>
    <x v="10"/>
    <x v="3"/>
    <x v="1"/>
    <x v="1"/>
    <x v="10"/>
    <s v="Fixed"/>
  </r>
  <r>
    <x v="8"/>
    <x v="11"/>
    <x v="2"/>
    <x v="1"/>
    <x v="1"/>
    <x v="11"/>
    <s v="Discretionary"/>
  </r>
  <r>
    <x v="9"/>
    <x v="12"/>
    <x v="1"/>
    <x v="1"/>
    <x v="0"/>
    <x v="12"/>
    <s v="Fixed"/>
  </r>
  <r>
    <x v="10"/>
    <x v="13"/>
    <x v="2"/>
    <x v="1"/>
    <x v="1"/>
    <x v="13"/>
    <s v="Discretionary"/>
  </r>
  <r>
    <x v="10"/>
    <x v="9"/>
    <x v="4"/>
    <x v="1"/>
    <x v="1"/>
    <x v="14"/>
    <s v="Discretionary"/>
  </r>
  <r>
    <x v="10"/>
    <x v="14"/>
    <x v="1"/>
    <x v="1"/>
    <x v="0"/>
    <x v="15"/>
    <s v="Discretionary"/>
  </r>
  <r>
    <x v="11"/>
    <x v="15"/>
    <x v="5"/>
    <x v="1"/>
    <x v="1"/>
    <x v="16"/>
    <s v="Discretionary"/>
  </r>
  <r>
    <x v="11"/>
    <x v="16"/>
    <x v="4"/>
    <x v="1"/>
    <x v="1"/>
    <x v="17"/>
    <s v="Fixed"/>
  </r>
  <r>
    <x v="12"/>
    <x v="17"/>
    <x v="4"/>
    <x v="1"/>
    <x v="0"/>
    <x v="18"/>
    <s v="Fixed"/>
  </r>
  <r>
    <x v="12"/>
    <x v="18"/>
    <x v="2"/>
    <x v="1"/>
    <x v="1"/>
    <x v="19"/>
    <s v="Discretionary"/>
  </r>
  <r>
    <x v="13"/>
    <x v="19"/>
    <x v="1"/>
    <x v="1"/>
    <x v="0"/>
    <x v="20"/>
    <s v="Discretionary"/>
  </r>
  <r>
    <x v="14"/>
    <x v="20"/>
    <x v="2"/>
    <x v="1"/>
    <x v="0"/>
    <x v="21"/>
    <s v="Discretionary"/>
  </r>
  <r>
    <x v="15"/>
    <x v="21"/>
    <x v="3"/>
    <x v="1"/>
    <x v="0"/>
    <x v="22"/>
    <s v="Fixed"/>
  </r>
  <r>
    <x v="16"/>
    <x v="0"/>
    <x v="0"/>
    <x v="0"/>
    <x v="0"/>
    <x v="0"/>
    <s v="Income"/>
  </r>
  <r>
    <x v="17"/>
    <x v="8"/>
    <x v="2"/>
    <x v="1"/>
    <x v="1"/>
    <x v="23"/>
    <s v="Discretionary"/>
  </r>
  <r>
    <x v="18"/>
    <x v="22"/>
    <x v="2"/>
    <x v="1"/>
    <x v="1"/>
    <x v="24"/>
    <s v="Discretionary"/>
  </r>
  <r>
    <x v="19"/>
    <x v="20"/>
    <x v="2"/>
    <x v="1"/>
    <x v="1"/>
    <x v="25"/>
    <s v="Discretionary"/>
  </r>
  <r>
    <x v="20"/>
    <x v="23"/>
    <x v="4"/>
    <x v="1"/>
    <x v="1"/>
    <x v="26"/>
    <s v="Discretionary"/>
  </r>
  <r>
    <x v="21"/>
    <x v="20"/>
    <x v="2"/>
    <x v="1"/>
    <x v="1"/>
    <x v="27"/>
    <s v="Discretionary"/>
  </r>
  <r>
    <x v="22"/>
    <x v="24"/>
    <x v="1"/>
    <x v="1"/>
    <x v="0"/>
    <x v="28"/>
    <s v="Discretionary"/>
  </r>
  <r>
    <x v="22"/>
    <x v="9"/>
    <x v="4"/>
    <x v="1"/>
    <x v="0"/>
    <x v="29"/>
    <s v="Discretionary"/>
  </r>
  <r>
    <x v="23"/>
    <x v="9"/>
    <x v="4"/>
    <x v="1"/>
    <x v="1"/>
    <x v="30"/>
    <s v="Discretionary"/>
  </r>
  <r>
    <x v="24"/>
    <x v="20"/>
    <x v="2"/>
    <x v="1"/>
    <x v="0"/>
    <x v="31"/>
    <s v="Discretionary"/>
  </r>
  <r>
    <x v="24"/>
    <x v="25"/>
    <x v="3"/>
    <x v="1"/>
    <x v="1"/>
    <x v="32"/>
    <s v="Fixed"/>
  </r>
  <r>
    <x v="25"/>
    <x v="10"/>
    <x v="3"/>
    <x v="1"/>
    <x v="0"/>
    <x v="10"/>
    <s v="Fixed"/>
  </r>
  <r>
    <x v="26"/>
    <x v="20"/>
    <x v="2"/>
    <x v="1"/>
    <x v="1"/>
    <x v="33"/>
    <s v="Discretionary"/>
  </r>
  <r>
    <x v="26"/>
    <x v="8"/>
    <x v="2"/>
    <x v="1"/>
    <x v="0"/>
    <x v="34"/>
    <s v="Discretionary"/>
  </r>
  <r>
    <x v="26"/>
    <x v="20"/>
    <x v="2"/>
    <x v="1"/>
    <x v="0"/>
    <x v="35"/>
    <s v="Discretionary"/>
  </r>
  <r>
    <x v="27"/>
    <x v="8"/>
    <x v="2"/>
    <x v="1"/>
    <x v="0"/>
    <x v="36"/>
    <s v="Discretionary"/>
  </r>
  <r>
    <x v="28"/>
    <x v="12"/>
    <x v="1"/>
    <x v="1"/>
    <x v="0"/>
    <x v="12"/>
    <s v="Fixed"/>
  </r>
  <r>
    <x v="29"/>
    <x v="16"/>
    <x v="4"/>
    <x v="1"/>
    <x v="0"/>
    <x v="17"/>
    <s v="Fixed"/>
  </r>
  <r>
    <x v="30"/>
    <x v="17"/>
    <x v="4"/>
    <x v="1"/>
    <x v="1"/>
    <x v="18"/>
    <s v="Fixed"/>
  </r>
  <r>
    <x v="31"/>
    <x v="26"/>
    <x v="5"/>
    <x v="1"/>
    <x v="1"/>
    <x v="37"/>
    <s v="Discretionary"/>
  </r>
  <r>
    <x v="31"/>
    <x v="27"/>
    <x v="3"/>
    <x v="1"/>
    <x v="0"/>
    <x v="38"/>
    <s v="Fixed"/>
  </r>
  <r>
    <x v="32"/>
    <x v="4"/>
    <x v="2"/>
    <x v="1"/>
    <x v="1"/>
    <x v="39"/>
    <s v="Discretionary"/>
  </r>
  <r>
    <x v="33"/>
    <x v="28"/>
    <x v="3"/>
    <x v="1"/>
    <x v="0"/>
    <x v="40"/>
    <s v="Discretionary"/>
  </r>
  <r>
    <x v="33"/>
    <x v="29"/>
    <x v="2"/>
    <x v="1"/>
    <x v="0"/>
    <x v="41"/>
    <s v="Discretionary"/>
  </r>
  <r>
    <x v="33"/>
    <x v="21"/>
    <x v="3"/>
    <x v="1"/>
    <x v="1"/>
    <x v="22"/>
    <s v="Fixed"/>
  </r>
  <r>
    <x v="34"/>
    <x v="0"/>
    <x v="0"/>
    <x v="0"/>
    <x v="0"/>
    <x v="0"/>
    <s v="Income"/>
  </r>
  <r>
    <x v="34"/>
    <x v="30"/>
    <x v="0"/>
    <x v="0"/>
    <x v="0"/>
    <x v="42"/>
    <s v="Income"/>
  </r>
  <r>
    <x v="35"/>
    <x v="31"/>
    <x v="0"/>
    <x v="0"/>
    <x v="0"/>
    <x v="43"/>
    <s v="Income"/>
  </r>
  <r>
    <x v="36"/>
    <x v="32"/>
    <x v="1"/>
    <x v="1"/>
    <x v="1"/>
    <x v="18"/>
    <s v="Discretionary"/>
  </r>
  <r>
    <x v="37"/>
    <x v="33"/>
    <x v="1"/>
    <x v="1"/>
    <x v="0"/>
    <x v="44"/>
    <s v="Fixed"/>
  </r>
  <r>
    <x v="37"/>
    <x v="34"/>
    <x v="1"/>
    <x v="1"/>
    <x v="0"/>
    <x v="45"/>
    <s v="Discretionary"/>
  </r>
  <r>
    <x v="38"/>
    <x v="35"/>
    <x v="4"/>
    <x v="1"/>
    <x v="0"/>
    <x v="46"/>
    <s v="Discretionary"/>
  </r>
  <r>
    <x v="39"/>
    <x v="36"/>
    <x v="1"/>
    <x v="1"/>
    <x v="1"/>
    <x v="47"/>
    <s v="Discretionary"/>
  </r>
  <r>
    <x v="39"/>
    <x v="15"/>
    <x v="5"/>
    <x v="1"/>
    <x v="0"/>
    <x v="48"/>
    <s v="Discretionary"/>
  </r>
  <r>
    <x v="40"/>
    <x v="20"/>
    <x v="2"/>
    <x v="1"/>
    <x v="1"/>
    <x v="49"/>
    <s v="Discretionary"/>
  </r>
  <r>
    <x v="41"/>
    <x v="20"/>
    <x v="2"/>
    <x v="1"/>
    <x v="1"/>
    <x v="50"/>
    <s v="Discretionary"/>
  </r>
  <r>
    <x v="41"/>
    <x v="10"/>
    <x v="3"/>
    <x v="1"/>
    <x v="0"/>
    <x v="10"/>
    <s v="Fixed"/>
  </r>
  <r>
    <x v="42"/>
    <x v="20"/>
    <x v="2"/>
    <x v="1"/>
    <x v="1"/>
    <x v="51"/>
    <s v="Discretionary"/>
  </r>
  <r>
    <x v="42"/>
    <x v="12"/>
    <x v="1"/>
    <x v="1"/>
    <x v="1"/>
    <x v="12"/>
    <s v="Fixed"/>
  </r>
  <r>
    <x v="43"/>
    <x v="37"/>
    <x v="1"/>
    <x v="1"/>
    <x v="1"/>
    <x v="52"/>
    <s v="Discretionary"/>
  </r>
  <r>
    <x v="44"/>
    <x v="16"/>
    <x v="4"/>
    <x v="1"/>
    <x v="0"/>
    <x v="17"/>
    <s v="Fixed"/>
  </r>
  <r>
    <x v="45"/>
    <x v="17"/>
    <x v="4"/>
    <x v="1"/>
    <x v="1"/>
    <x v="18"/>
    <s v="Fixed"/>
  </r>
  <r>
    <x v="45"/>
    <x v="38"/>
    <x v="2"/>
    <x v="1"/>
    <x v="0"/>
    <x v="53"/>
    <s v="Discretionary"/>
  </r>
  <r>
    <x v="46"/>
    <x v="9"/>
    <x v="4"/>
    <x v="1"/>
    <x v="0"/>
    <x v="54"/>
    <s v="Discretionary"/>
  </r>
  <r>
    <x v="46"/>
    <x v="8"/>
    <x v="2"/>
    <x v="1"/>
    <x v="0"/>
    <x v="55"/>
    <s v="Discretionary"/>
  </r>
  <r>
    <x v="47"/>
    <x v="8"/>
    <x v="2"/>
    <x v="1"/>
    <x v="0"/>
    <x v="56"/>
    <s v="Discretionary"/>
  </r>
  <r>
    <x v="47"/>
    <x v="7"/>
    <x v="1"/>
    <x v="1"/>
    <x v="0"/>
    <x v="57"/>
    <s v="Discretionary"/>
  </r>
  <r>
    <x v="48"/>
    <x v="39"/>
    <x v="4"/>
    <x v="1"/>
    <x v="1"/>
    <x v="58"/>
    <s v="Discretionary"/>
  </r>
  <r>
    <x v="49"/>
    <x v="21"/>
    <x v="3"/>
    <x v="1"/>
    <x v="0"/>
    <x v="22"/>
    <s v="Fixe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d v="2022-10-01T00:00:00"/>
    <s v="Salary"/>
    <s v="Income"/>
    <x v="0"/>
    <s v="Credit Card"/>
    <n v="400000"/>
    <x v="0"/>
  </r>
  <r>
    <d v="2022-10-01T00:00:00"/>
    <s v="Date night with Amiyah"/>
    <s v="Flexing"/>
    <x v="1"/>
    <s v="Credit Card"/>
    <n v="7092"/>
    <x v="1"/>
  </r>
  <r>
    <d v="2022-10-02T00:00:00"/>
    <s v="Lunch at Shiro"/>
    <s v="Food &amp; Drinks"/>
    <x v="1"/>
    <s v="Cash"/>
    <n v="5403"/>
    <x v="1"/>
  </r>
  <r>
    <d v="2022-10-03T00:00:00"/>
    <s v="10Alytics Training"/>
    <s v="Personal Development"/>
    <x v="1"/>
    <s v="Cash"/>
    <n v="60000"/>
    <x v="2"/>
  </r>
  <r>
    <d v="2022-10-08T00:00:00"/>
    <s v="Breakfast at KFC"/>
    <s v="Food &amp; Drinks"/>
    <x v="1"/>
    <s v="Credit Card"/>
    <n v="8844"/>
    <x v="1"/>
  </r>
  <r>
    <d v="2022-10-09T00:00:00"/>
    <s v="Lunch at Chicken Republic"/>
    <s v="Food &amp; Drinks"/>
    <x v="1"/>
    <s v="Credit Card"/>
    <n v="7752"/>
    <x v="1"/>
  </r>
  <r>
    <d v="2022-10-09T00:00:00"/>
    <s v="Tennis Racket"/>
    <s v="Personal Development"/>
    <x v="1"/>
    <s v="Credit Card"/>
    <n v="6621"/>
    <x v="1"/>
  </r>
  <r>
    <d v="2022-10-10T00:00:00"/>
    <s v="Night at club"/>
    <s v="Flexing"/>
    <x v="1"/>
    <s v="Cash"/>
    <n v="5347"/>
    <x v="1"/>
  </r>
  <r>
    <d v="2022-10-11T00:00:00"/>
    <s v="Coffee at Starbucks"/>
    <s v="Food &amp; Drinks"/>
    <x v="1"/>
    <s v="Cash"/>
    <n v="5366"/>
    <x v="1"/>
  </r>
  <r>
    <d v="2022-10-16T00:00:00"/>
    <s v="Petrol for car"/>
    <s v="Housing &amp; Utilities"/>
    <x v="1"/>
    <s v="Credit Card"/>
    <n v="7449"/>
    <x v="1"/>
  </r>
  <r>
    <d v="2022-10-19T00:00:00"/>
    <s v="Gym subscription"/>
    <s v="Personal Development"/>
    <x v="1"/>
    <s v="Cash"/>
    <n v="9800"/>
    <x v="2"/>
  </r>
  <r>
    <d v="2022-10-19T00:00:00"/>
    <s v="McDonald's brunch"/>
    <s v="Food &amp; Drinks"/>
    <x v="1"/>
    <s v="Cash"/>
    <n v="8492"/>
    <x v="1"/>
  </r>
  <r>
    <d v="2022-10-20T00:00:00"/>
    <s v="Spotify subscription"/>
    <s v="Flexing"/>
    <x v="1"/>
    <s v="Credit Card"/>
    <n v="4300"/>
    <x v="2"/>
  </r>
  <r>
    <d v="2022-10-24T00:00:00"/>
    <s v="Lunch at Buzz"/>
    <s v="Food &amp; Drinks"/>
    <x v="1"/>
    <s v="Cash"/>
    <n v="8647"/>
    <x v="1"/>
  </r>
  <r>
    <d v="2022-10-24T00:00:00"/>
    <s v="Petrol for car"/>
    <s v="Housing &amp; Utilities"/>
    <x v="1"/>
    <s v="Cash"/>
    <n v="6714"/>
    <x v="1"/>
  </r>
  <r>
    <d v="2022-10-24T00:00:00"/>
    <s v="Mainland Block Party"/>
    <s v="Flexing"/>
    <x v="1"/>
    <s v="Credit Card"/>
    <n v="5079"/>
    <x v="1"/>
  </r>
  <r>
    <d v="2022-10-25T00:00:00"/>
    <s v="2 shirts and 4 trousers"/>
    <s v="Clothing"/>
    <x v="1"/>
    <s v="Cash"/>
    <n v="17600"/>
    <x v="1"/>
  </r>
  <r>
    <d v="2022-10-25T00:00:00"/>
    <s v="House Rent"/>
    <s v="Housing &amp; Utilities"/>
    <x v="1"/>
    <s v="Cash"/>
    <n v="50000"/>
    <x v="2"/>
  </r>
  <r>
    <d v="2022-10-26T00:00:00"/>
    <s v="Internet and Phone Subscription"/>
    <s v="Housing &amp; Utilities"/>
    <x v="1"/>
    <s v="Credit Card"/>
    <n v="10000"/>
    <x v="2"/>
  </r>
  <r>
    <d v="2022-10-26T00:00:00"/>
    <s v="Coffee at Buzz"/>
    <s v="Food &amp; Drinks"/>
    <x v="1"/>
    <s v="Cash"/>
    <n v="8963"/>
    <x v="1"/>
  </r>
  <r>
    <d v="2022-10-27T00:00:00"/>
    <s v="Movie at cinema"/>
    <s v="Flexing"/>
    <x v="1"/>
    <s v="Credit Card"/>
    <n v="6509"/>
    <x v="1"/>
  </r>
  <r>
    <d v="2022-10-28T00:00:00"/>
    <s v="Grocery shopping"/>
    <s v="Food &amp; Drinks"/>
    <x v="1"/>
    <s v="Credit Card"/>
    <n v="6641"/>
    <x v="1"/>
  </r>
  <r>
    <d v="2022-10-30T00:00:00"/>
    <s v="Microsoft Office Purchase"/>
    <s v="Personal Development"/>
    <x v="1"/>
    <s v="Credit Card"/>
    <n v="1940"/>
    <x v="2"/>
  </r>
  <r>
    <d v="2022-11-01T00:00:00"/>
    <s v="Salary"/>
    <s v="Income"/>
    <x v="0"/>
    <s v="Credit Card"/>
    <n v="400000"/>
    <x v="0"/>
  </r>
  <r>
    <d v="2022-11-04T00:00:00"/>
    <s v="Coffee at Starbucks"/>
    <s v="Food &amp; Drinks"/>
    <x v="1"/>
    <s v="Cash"/>
    <n v="5950"/>
    <x v="1"/>
  </r>
  <r>
    <d v="2022-11-07T00:00:00"/>
    <s v="Breakfast at Chicken Republic"/>
    <s v="Food &amp; Drinks"/>
    <x v="1"/>
    <s v="Cash"/>
    <n v="7957"/>
    <x v="1"/>
  </r>
  <r>
    <d v="2022-11-09T00:00:00"/>
    <s v="Grocery shopping"/>
    <s v="Food &amp; Drinks"/>
    <x v="1"/>
    <s v="Cash"/>
    <n v="8782"/>
    <x v="1"/>
  </r>
  <r>
    <d v="2022-11-10T00:00:00"/>
    <s v="Deodorant and Perfume purchase"/>
    <s v="Housing &amp; Utilities"/>
    <x v="1"/>
    <s v="Cash"/>
    <n v="9642"/>
    <x v="1"/>
  </r>
  <r>
    <d v="2022-11-11T00:00:00"/>
    <s v="Grocery shopping"/>
    <s v="Food &amp; Drinks"/>
    <x v="1"/>
    <s v="Cash"/>
    <n v="12109"/>
    <x v="1"/>
  </r>
  <r>
    <d v="2022-11-13T00:00:00"/>
    <s v="Birthday party"/>
    <s v="Flexing"/>
    <x v="1"/>
    <s v="Credit Card"/>
    <n v="7149"/>
    <x v="1"/>
  </r>
  <r>
    <d v="2022-11-13T00:00:00"/>
    <s v="Petrol for car"/>
    <s v="Housing &amp; Utilities"/>
    <x v="1"/>
    <s v="Credit Card"/>
    <n v="6392"/>
    <x v="1"/>
  </r>
  <r>
    <d v="2022-11-16T00:00:00"/>
    <s v="Petrol for car"/>
    <s v="Housing &amp; Utilities"/>
    <x v="1"/>
    <s v="Cash"/>
    <n v="5014"/>
    <x v="1"/>
  </r>
  <r>
    <d v="2022-11-17T00:00:00"/>
    <s v="Grocery shopping"/>
    <s v="Food &amp; Drinks"/>
    <x v="1"/>
    <s v="Credit Card"/>
    <n v="8691"/>
    <x v="1"/>
  </r>
  <r>
    <d v="2022-11-17T00:00:00"/>
    <s v="Udemy course"/>
    <s v="Personal Development"/>
    <x v="1"/>
    <s v="Cash"/>
    <n v="6026"/>
    <x v="2"/>
  </r>
  <r>
    <d v="2022-11-19T00:00:00"/>
    <s v="Gym subscription"/>
    <s v="Personal Development"/>
    <x v="1"/>
    <s v="Credit Card"/>
    <n v="9800"/>
    <x v="2"/>
  </r>
  <r>
    <d v="2022-11-20T00:00:00"/>
    <s v="Grocery shopping"/>
    <s v="Food &amp; Drinks"/>
    <x v="1"/>
    <s v="Cash"/>
    <n v="10854"/>
    <x v="1"/>
  </r>
  <r>
    <d v="2022-11-20T00:00:00"/>
    <s v="Coffee at Starbucks"/>
    <s v="Food &amp; Drinks"/>
    <x v="1"/>
    <s v="Credit Card"/>
    <n v="12734"/>
    <x v="1"/>
  </r>
  <r>
    <d v="2022-11-20T00:00:00"/>
    <s v="Grocery shopping"/>
    <s v="Food &amp; Drinks"/>
    <x v="1"/>
    <s v="Credit Card"/>
    <n v="10900"/>
    <x v="1"/>
  </r>
  <r>
    <d v="2022-11-23T00:00:00"/>
    <s v="Coffee at Starbucks"/>
    <s v="Food &amp; Drinks"/>
    <x v="1"/>
    <s v="Credit Card"/>
    <n v="8713"/>
    <x v="1"/>
  </r>
  <r>
    <d v="2022-11-24T00:00:00"/>
    <s v="Spotify subscription"/>
    <s v="Flexing"/>
    <x v="1"/>
    <s v="Credit Card"/>
    <n v="4300"/>
    <x v="2"/>
  </r>
  <r>
    <d v="2022-11-25T00:00:00"/>
    <s v="House Rent"/>
    <s v="Housing &amp; Utilities"/>
    <x v="1"/>
    <s v="Credit Card"/>
    <n v="50000"/>
    <x v="2"/>
  </r>
  <r>
    <d v="2022-11-26T00:00:00"/>
    <s v="Internet and Phone Subscription"/>
    <s v="Housing &amp; Utilities"/>
    <x v="1"/>
    <s v="Cash"/>
    <n v="10000"/>
    <x v="2"/>
  </r>
  <r>
    <d v="2022-11-27T00:00:00"/>
    <s v="Sneakers purchase"/>
    <s v="Clothing"/>
    <x v="1"/>
    <s v="Cash"/>
    <n v="14300"/>
    <x v="1"/>
  </r>
  <r>
    <d v="2022-11-27T00:00:00"/>
    <s v="Business School Training"/>
    <s v="Personal Development"/>
    <x v="1"/>
    <s v="Credit Card"/>
    <n v="11845"/>
    <x v="2"/>
  </r>
  <r>
    <d v="2022-11-28T00:00:00"/>
    <s v="Breakfast at KFC"/>
    <s v="Food &amp; Drinks"/>
    <x v="1"/>
    <s v="Cash"/>
    <n v="8349"/>
    <x v="1"/>
  </r>
  <r>
    <d v="2022-11-30T00:00:00"/>
    <s v="New books purchase"/>
    <s v="Personal Development"/>
    <x v="1"/>
    <s v="Credit Card"/>
    <n v="18000"/>
    <x v="1"/>
  </r>
  <r>
    <d v="2022-11-30T00:00:00"/>
    <s v="Shawarma at Yaba - Lunch"/>
    <s v="Food &amp; Drinks"/>
    <x v="1"/>
    <s v="Credit Card"/>
    <n v="11657"/>
    <x v="1"/>
  </r>
  <r>
    <d v="2022-11-30T00:00:00"/>
    <s v="Microsoft Office Purchase"/>
    <s v="Personal Development"/>
    <x v="1"/>
    <s v="Cash"/>
    <n v="1940"/>
    <x v="2"/>
  </r>
  <r>
    <d v="2022-12-01T00:00:00"/>
    <s v="Salary"/>
    <s v="Income"/>
    <x v="0"/>
    <s v="Credit Card"/>
    <n v="400000"/>
    <x v="0"/>
  </r>
  <r>
    <d v="2022-12-01T00:00:00"/>
    <s v="Christmas bonus"/>
    <s v="Income"/>
    <x v="0"/>
    <s v="Credit Card"/>
    <n v="150000"/>
    <x v="0"/>
  </r>
  <r>
    <d v="2022-12-02T00:00:00"/>
    <s v="Interest from Investment"/>
    <s v="Income"/>
    <x v="0"/>
    <s v="Credit Card"/>
    <n v="95900"/>
    <x v="0"/>
  </r>
  <r>
    <d v="2022-12-10T00:00:00"/>
    <s v="Davido's concert"/>
    <s v="Flexing"/>
    <x v="1"/>
    <s v="Cash"/>
    <n v="10000"/>
    <x v="1"/>
  </r>
  <r>
    <d v="2022-12-12T00:00:00"/>
    <s v="Games Night contribution"/>
    <s v="Flexing"/>
    <x v="1"/>
    <s v="Credit Card"/>
    <n v="5500"/>
    <x v="2"/>
  </r>
  <r>
    <d v="2022-12-12T00:00:00"/>
    <s v="Boat cruise"/>
    <s v="Flexing"/>
    <x v="1"/>
    <s v="Credit Card"/>
    <n v="15000"/>
    <x v="1"/>
  </r>
  <r>
    <d v="2022-12-13T00:00:00"/>
    <s v="Christmas house decoration"/>
    <s v="Housing &amp; Utilities"/>
    <x v="1"/>
    <s v="Credit Card"/>
    <n v="32300"/>
    <x v="1"/>
  </r>
  <r>
    <d v="2022-12-14T00:00:00"/>
    <s v="Apple watch purchase"/>
    <s v="Flexing"/>
    <x v="1"/>
    <s v="Cash"/>
    <n v="35900"/>
    <x v="1"/>
  </r>
  <r>
    <d v="2022-12-14T00:00:00"/>
    <s v="2 shirts and 4 trousers"/>
    <s v="Clothing"/>
    <x v="1"/>
    <s v="Credit Card"/>
    <n v="38000"/>
    <x v="1"/>
  </r>
  <r>
    <d v="2022-12-15T00:00:00"/>
    <s v="Grocery shopping"/>
    <s v="Food &amp; Drinks"/>
    <x v="1"/>
    <s v="Cash"/>
    <n v="6878"/>
    <x v="1"/>
  </r>
  <r>
    <d v="2022-12-19T00:00:00"/>
    <s v="Grocery shopping"/>
    <s v="Food &amp; Drinks"/>
    <x v="1"/>
    <s v="Cash"/>
    <n v="5446"/>
    <x v="1"/>
  </r>
  <r>
    <d v="2022-12-19T00:00:00"/>
    <s v="Gym subscription"/>
    <s v="Personal Development"/>
    <x v="1"/>
    <s v="Credit Card"/>
    <n v="9800"/>
    <x v="2"/>
  </r>
  <r>
    <d v="2022-12-20T00:00:00"/>
    <s v="Grocery shopping"/>
    <s v="Food &amp; Drinks"/>
    <x v="1"/>
    <s v="Cash"/>
    <n v="7616"/>
    <x v="1"/>
  </r>
  <r>
    <d v="2022-12-20T00:00:00"/>
    <s v="Spotify subscription"/>
    <s v="Flexing"/>
    <x v="1"/>
    <s v="Cash"/>
    <n v="4300"/>
    <x v="2"/>
  </r>
  <r>
    <d v="2022-12-22T00:00:00"/>
    <s v="Dinner at Eko Hotel"/>
    <s v="Flexing"/>
    <x v="1"/>
    <s v="Cash"/>
    <n v="5718"/>
    <x v="1"/>
  </r>
  <r>
    <d v="2022-12-25T00:00:00"/>
    <s v="House Rent"/>
    <s v="Housing &amp; Utilities"/>
    <x v="1"/>
    <s v="Credit Card"/>
    <n v="50000"/>
    <x v="2"/>
  </r>
  <r>
    <d v="2022-12-26T00:00:00"/>
    <s v="Internet and Phone Subscription"/>
    <s v="Housing &amp; Utilities"/>
    <x v="1"/>
    <s v="Cash"/>
    <n v="10000"/>
    <x v="2"/>
  </r>
  <r>
    <d v="2022-12-26T00:00:00"/>
    <s v="Lunch at Kapadoccia"/>
    <s v="Food &amp; Drinks"/>
    <x v="1"/>
    <s v="Credit Card"/>
    <n v="6383"/>
    <x v="1"/>
  </r>
  <r>
    <d v="2022-12-27T00:00:00"/>
    <s v="Petrol for car"/>
    <s v="Housing &amp; Utilities"/>
    <x v="1"/>
    <s v="Credit Card"/>
    <n v="11670"/>
    <x v="1"/>
  </r>
  <r>
    <d v="2022-12-27T00:00:00"/>
    <s v="Coffee at Starbucks"/>
    <s v="Food &amp; Drinks"/>
    <x v="1"/>
    <s v="Credit Card"/>
    <n v="8108"/>
    <x v="1"/>
  </r>
  <r>
    <d v="2022-12-28T00:00:00"/>
    <s v="Coffee at Starbucks"/>
    <s v="Food &amp; Drinks"/>
    <x v="1"/>
    <s v="Credit Card"/>
    <n v="6675"/>
    <x v="1"/>
  </r>
  <r>
    <d v="2022-12-28T00:00:00"/>
    <s v="Night at club"/>
    <s v="Flexing"/>
    <x v="1"/>
    <s v="Credit Card"/>
    <n v="65900"/>
    <x v="1"/>
  </r>
  <r>
    <d v="2022-12-29T00:00:00"/>
    <s v="Laptop Repair"/>
    <s v="Housing &amp; Utilities"/>
    <x v="1"/>
    <s v="Cash"/>
    <n v="6189"/>
    <x v="1"/>
  </r>
  <r>
    <d v="2022-12-31T00:00:00"/>
    <s v="Microsoft Office Purchase"/>
    <s v="Personal Development"/>
    <x v="1"/>
    <s v="Credit Card"/>
    <n v="1940"/>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d v="2022-10-01T00:00:00"/>
    <s v="Salary"/>
    <x v="0"/>
    <x v="0"/>
    <x v="0"/>
    <n v="400000"/>
  </r>
  <r>
    <d v="2022-10-01T00:00:00"/>
    <s v="Date night with Amiyah"/>
    <x v="1"/>
    <x v="1"/>
    <x v="0"/>
    <n v="7092"/>
  </r>
  <r>
    <d v="2022-10-02T00:00:00"/>
    <s v="Lunch at Shiro"/>
    <x v="2"/>
    <x v="1"/>
    <x v="1"/>
    <n v="5403"/>
  </r>
  <r>
    <d v="2022-10-03T00:00:00"/>
    <s v="10Alytics Training"/>
    <x v="3"/>
    <x v="1"/>
    <x v="1"/>
    <n v="60000"/>
  </r>
  <r>
    <d v="2022-10-08T00:00:00"/>
    <s v="Breakfast at KFC"/>
    <x v="2"/>
    <x v="1"/>
    <x v="0"/>
    <n v="8844"/>
  </r>
  <r>
    <d v="2022-10-09T00:00:00"/>
    <s v="Lunch at Chicken Republic"/>
    <x v="2"/>
    <x v="1"/>
    <x v="0"/>
    <n v="7752"/>
  </r>
  <r>
    <d v="2022-10-09T00:00:00"/>
    <s v="Tennis Racket"/>
    <x v="3"/>
    <x v="1"/>
    <x v="0"/>
    <n v="6621"/>
  </r>
  <r>
    <d v="2022-10-10T00:00:00"/>
    <s v="Night at club"/>
    <x v="1"/>
    <x v="1"/>
    <x v="1"/>
    <n v="5347"/>
  </r>
  <r>
    <d v="2022-10-11T00:00:00"/>
    <s v="Coffee at Starbucks"/>
    <x v="2"/>
    <x v="1"/>
    <x v="1"/>
    <n v="5366"/>
  </r>
  <r>
    <d v="2022-10-16T00:00:00"/>
    <s v="Petrol for car"/>
    <x v="4"/>
    <x v="1"/>
    <x v="0"/>
    <n v="7449"/>
  </r>
  <r>
    <d v="2022-10-19T00:00:00"/>
    <s v="Gym subscription"/>
    <x v="3"/>
    <x v="1"/>
    <x v="1"/>
    <n v="9800"/>
  </r>
  <r>
    <d v="2022-10-19T00:00:00"/>
    <s v="McDonald's brunch"/>
    <x v="2"/>
    <x v="1"/>
    <x v="1"/>
    <n v="8492"/>
  </r>
  <r>
    <d v="2022-10-20T00:00:00"/>
    <s v="Spotify subscription"/>
    <x v="1"/>
    <x v="1"/>
    <x v="0"/>
    <n v="4300"/>
  </r>
  <r>
    <d v="2022-10-24T00:00:00"/>
    <s v="Lunch at Buzz"/>
    <x v="2"/>
    <x v="1"/>
    <x v="1"/>
    <n v="8647"/>
  </r>
  <r>
    <d v="2022-10-24T00:00:00"/>
    <s v="Petrol for car"/>
    <x v="4"/>
    <x v="1"/>
    <x v="1"/>
    <n v="6714"/>
  </r>
  <r>
    <d v="2022-10-24T00:00:00"/>
    <s v="Mainland Block Party"/>
    <x v="1"/>
    <x v="1"/>
    <x v="0"/>
    <n v="5079"/>
  </r>
  <r>
    <d v="2022-10-25T00:00:00"/>
    <s v="2 shirts and 4 trousers"/>
    <x v="5"/>
    <x v="1"/>
    <x v="1"/>
    <n v="17600"/>
  </r>
  <r>
    <d v="2022-10-25T00:00:00"/>
    <s v="House Rent"/>
    <x v="4"/>
    <x v="1"/>
    <x v="1"/>
    <n v="50000"/>
  </r>
  <r>
    <d v="2022-10-26T00:00:00"/>
    <s v="Internet and Phone Subscription"/>
    <x v="4"/>
    <x v="1"/>
    <x v="0"/>
    <n v="10000"/>
  </r>
  <r>
    <d v="2022-10-26T00:00:00"/>
    <s v="Coffee at Buzz"/>
    <x v="2"/>
    <x v="1"/>
    <x v="1"/>
    <n v="8963"/>
  </r>
  <r>
    <d v="2022-10-27T00:00:00"/>
    <s v="Movie at cinema"/>
    <x v="1"/>
    <x v="1"/>
    <x v="0"/>
    <n v="6509"/>
  </r>
  <r>
    <d v="2022-10-28T00:00:00"/>
    <s v="Grocery shopping"/>
    <x v="2"/>
    <x v="1"/>
    <x v="0"/>
    <n v="6641"/>
  </r>
  <r>
    <d v="2022-10-30T00:00:00"/>
    <s v="Microsoft Office Purchase"/>
    <x v="3"/>
    <x v="1"/>
    <x v="0"/>
    <n v="1940"/>
  </r>
  <r>
    <d v="2022-11-01T00:00:00"/>
    <s v="Salary"/>
    <x v="0"/>
    <x v="0"/>
    <x v="0"/>
    <n v="400000"/>
  </r>
  <r>
    <d v="2022-11-04T00:00:00"/>
    <s v="Coffee at Starbucks"/>
    <x v="2"/>
    <x v="1"/>
    <x v="1"/>
    <n v="5950"/>
  </r>
  <r>
    <d v="2022-11-07T00:00:00"/>
    <s v="Breakfast at Chicken Republic"/>
    <x v="2"/>
    <x v="1"/>
    <x v="1"/>
    <n v="7957"/>
  </r>
  <r>
    <d v="2022-11-09T00:00:00"/>
    <s v="Grocery shopping"/>
    <x v="2"/>
    <x v="1"/>
    <x v="1"/>
    <n v="8782"/>
  </r>
  <r>
    <d v="2022-11-10T00:00:00"/>
    <s v="Deodorant and Perfume purchase"/>
    <x v="4"/>
    <x v="1"/>
    <x v="1"/>
    <n v="9642"/>
  </r>
  <r>
    <d v="2022-11-11T00:00:00"/>
    <s v="Grocery shopping"/>
    <x v="2"/>
    <x v="1"/>
    <x v="1"/>
    <n v="12109"/>
  </r>
  <r>
    <d v="2022-11-13T00:00:00"/>
    <s v="Birthday party"/>
    <x v="1"/>
    <x v="1"/>
    <x v="0"/>
    <n v="7149"/>
  </r>
  <r>
    <d v="2022-11-13T00:00:00"/>
    <s v="Petrol for car"/>
    <x v="4"/>
    <x v="1"/>
    <x v="0"/>
    <n v="6392"/>
  </r>
  <r>
    <d v="2022-11-16T00:00:00"/>
    <s v="Petrol for car"/>
    <x v="4"/>
    <x v="1"/>
    <x v="1"/>
    <n v="5014"/>
  </r>
  <r>
    <d v="2022-11-17T00:00:00"/>
    <s v="Grocery shopping"/>
    <x v="2"/>
    <x v="1"/>
    <x v="0"/>
    <n v="8691"/>
  </r>
  <r>
    <d v="2022-11-17T00:00:00"/>
    <s v="Udemy course"/>
    <x v="3"/>
    <x v="1"/>
    <x v="1"/>
    <n v="6026"/>
  </r>
  <r>
    <d v="2022-11-19T00:00:00"/>
    <s v="Gym subscription"/>
    <x v="3"/>
    <x v="1"/>
    <x v="0"/>
    <n v="9800"/>
  </r>
  <r>
    <d v="2022-11-20T00:00:00"/>
    <s v="Grocery shopping"/>
    <x v="2"/>
    <x v="1"/>
    <x v="1"/>
    <n v="10854"/>
  </r>
  <r>
    <d v="2022-11-20T00:00:00"/>
    <s v="Coffee at Starbucks"/>
    <x v="2"/>
    <x v="1"/>
    <x v="0"/>
    <n v="12734"/>
  </r>
  <r>
    <d v="2022-11-20T00:00:00"/>
    <s v="Grocery shopping"/>
    <x v="2"/>
    <x v="1"/>
    <x v="0"/>
    <n v="10900"/>
  </r>
  <r>
    <d v="2022-11-23T00:00:00"/>
    <s v="Coffee at Starbucks"/>
    <x v="2"/>
    <x v="1"/>
    <x v="0"/>
    <n v="8713"/>
  </r>
  <r>
    <d v="2022-11-24T00:00:00"/>
    <s v="Spotify subscription"/>
    <x v="1"/>
    <x v="1"/>
    <x v="0"/>
    <n v="4300"/>
  </r>
  <r>
    <d v="2022-11-25T00:00:00"/>
    <s v="House Rent"/>
    <x v="4"/>
    <x v="1"/>
    <x v="0"/>
    <n v="50000"/>
  </r>
  <r>
    <d v="2022-11-26T00:00:00"/>
    <s v="Internet and Phone Subscription"/>
    <x v="4"/>
    <x v="1"/>
    <x v="1"/>
    <n v="10000"/>
  </r>
  <r>
    <d v="2022-11-27T00:00:00"/>
    <s v="Sneakers purchase"/>
    <x v="5"/>
    <x v="1"/>
    <x v="1"/>
    <n v="14300"/>
  </r>
  <r>
    <d v="2022-11-27T00:00:00"/>
    <s v="Business School Training"/>
    <x v="3"/>
    <x v="1"/>
    <x v="0"/>
    <n v="11845"/>
  </r>
  <r>
    <d v="2022-11-28T00:00:00"/>
    <s v="Breakfast at KFC"/>
    <x v="2"/>
    <x v="1"/>
    <x v="1"/>
    <n v="8349"/>
  </r>
  <r>
    <d v="2022-11-30T00:00:00"/>
    <s v="New books purchase"/>
    <x v="3"/>
    <x v="1"/>
    <x v="0"/>
    <n v="18000"/>
  </r>
  <r>
    <d v="2022-11-30T00:00:00"/>
    <s v="Shawarma at Yaba - Lunch"/>
    <x v="2"/>
    <x v="1"/>
    <x v="0"/>
    <n v="11657"/>
  </r>
  <r>
    <d v="2022-11-30T00:00:00"/>
    <s v="Microsoft Office Purchase"/>
    <x v="3"/>
    <x v="1"/>
    <x v="1"/>
    <n v="1940"/>
  </r>
  <r>
    <d v="2022-12-01T00:00:00"/>
    <s v="Salary"/>
    <x v="0"/>
    <x v="0"/>
    <x v="0"/>
    <n v="400000"/>
  </r>
  <r>
    <d v="2022-12-01T00:00:00"/>
    <s v="Christmas bonus"/>
    <x v="0"/>
    <x v="0"/>
    <x v="0"/>
    <n v="150000"/>
  </r>
  <r>
    <d v="2022-12-02T00:00:00"/>
    <s v="Interest from Investment"/>
    <x v="0"/>
    <x v="0"/>
    <x v="0"/>
    <n v="95900"/>
  </r>
  <r>
    <d v="2022-12-10T00:00:00"/>
    <s v="Davido's concert"/>
    <x v="1"/>
    <x v="1"/>
    <x v="1"/>
    <n v="10000"/>
  </r>
  <r>
    <d v="2022-12-12T00:00:00"/>
    <s v="Games Night contribution"/>
    <x v="1"/>
    <x v="1"/>
    <x v="0"/>
    <n v="5500"/>
  </r>
  <r>
    <d v="2022-12-12T00:00:00"/>
    <s v="Boat cruise"/>
    <x v="1"/>
    <x v="1"/>
    <x v="0"/>
    <n v="15000"/>
  </r>
  <r>
    <d v="2022-12-13T00:00:00"/>
    <s v="Christmas house decoration"/>
    <x v="4"/>
    <x v="1"/>
    <x v="0"/>
    <n v="32300"/>
  </r>
  <r>
    <d v="2022-12-14T00:00:00"/>
    <s v="Apple watch purchase"/>
    <x v="1"/>
    <x v="1"/>
    <x v="1"/>
    <n v="35900"/>
  </r>
  <r>
    <d v="2022-12-14T00:00:00"/>
    <s v="2 shirts and 4 trousers"/>
    <x v="5"/>
    <x v="1"/>
    <x v="0"/>
    <n v="38000"/>
  </r>
  <r>
    <d v="2022-12-15T00:00:00"/>
    <s v="Grocery shopping"/>
    <x v="2"/>
    <x v="1"/>
    <x v="1"/>
    <n v="6878"/>
  </r>
  <r>
    <d v="2022-12-19T00:00:00"/>
    <s v="Grocery shopping"/>
    <x v="2"/>
    <x v="1"/>
    <x v="1"/>
    <n v="5446"/>
  </r>
  <r>
    <d v="2022-12-19T00:00:00"/>
    <s v="Gym subscription"/>
    <x v="3"/>
    <x v="1"/>
    <x v="0"/>
    <n v="9800"/>
  </r>
  <r>
    <d v="2022-12-20T00:00:00"/>
    <s v="Grocery shopping"/>
    <x v="2"/>
    <x v="1"/>
    <x v="1"/>
    <n v="7616"/>
  </r>
  <r>
    <d v="2022-12-20T00:00:00"/>
    <s v="Spotify subscription"/>
    <x v="1"/>
    <x v="1"/>
    <x v="1"/>
    <n v="4300"/>
  </r>
  <r>
    <d v="2022-12-22T00:00:00"/>
    <s v="Dinner at Eko Hotel"/>
    <x v="1"/>
    <x v="1"/>
    <x v="1"/>
    <n v="5718"/>
  </r>
  <r>
    <d v="2022-12-25T00:00:00"/>
    <s v="House Rent"/>
    <x v="4"/>
    <x v="1"/>
    <x v="0"/>
    <n v="50000"/>
  </r>
  <r>
    <d v="2022-12-26T00:00:00"/>
    <s v="Internet and Phone Subscription"/>
    <x v="4"/>
    <x v="1"/>
    <x v="1"/>
    <n v="10000"/>
  </r>
  <r>
    <d v="2022-12-26T00:00:00"/>
    <s v="Lunch at Kapadoccia"/>
    <x v="2"/>
    <x v="1"/>
    <x v="0"/>
    <n v="6383"/>
  </r>
  <r>
    <d v="2022-12-27T00:00:00"/>
    <s v="Petrol for car"/>
    <x v="4"/>
    <x v="1"/>
    <x v="0"/>
    <n v="11670"/>
  </r>
  <r>
    <d v="2022-12-27T00:00:00"/>
    <s v="Coffee at Starbucks"/>
    <x v="2"/>
    <x v="1"/>
    <x v="0"/>
    <n v="8108"/>
  </r>
  <r>
    <d v="2022-12-28T00:00:00"/>
    <s v="Coffee at Starbucks"/>
    <x v="2"/>
    <x v="1"/>
    <x v="0"/>
    <n v="6675"/>
  </r>
  <r>
    <d v="2022-12-28T00:00:00"/>
    <s v="Night at club"/>
    <x v="1"/>
    <x v="1"/>
    <x v="0"/>
    <n v="65900"/>
  </r>
  <r>
    <d v="2022-12-29T00:00:00"/>
    <s v="Laptop Repair"/>
    <x v="4"/>
    <x v="1"/>
    <x v="1"/>
    <n v="6189"/>
  </r>
  <r>
    <d v="2022-12-31T00:00:00"/>
    <s v="Microsoft Office Purchase"/>
    <x v="3"/>
    <x v="1"/>
    <x v="0"/>
    <n v="19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EAB78A-AD2F-4373-B94E-D4390AF1E7D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rowPageCount="1" colPageCount="1"/>
  <pivotFields count="9">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axis="axisPage" multipleItemSelectionAllowed="1" showAll="0">
      <items count="4">
        <item x="1"/>
        <item h="1" x="0"/>
        <item h="1" m="1" x="2"/>
        <item t="default"/>
      </items>
    </pivotField>
    <pivotField showAll="0"/>
    <pivotField dataField="1" showAll="0">
      <items count="60">
        <item x="22"/>
        <item x="12"/>
        <item x="30"/>
        <item x="15"/>
        <item x="7"/>
        <item x="8"/>
        <item x="2"/>
        <item x="50"/>
        <item x="44"/>
        <item x="52"/>
        <item x="23"/>
        <item x="32"/>
        <item x="58"/>
        <item x="53"/>
        <item x="29"/>
        <item x="20"/>
        <item x="6"/>
        <item x="21"/>
        <item x="56"/>
        <item x="14"/>
        <item x="49"/>
        <item x="1"/>
        <item x="28"/>
        <item x="9"/>
        <item x="51"/>
        <item x="5"/>
        <item x="24"/>
        <item x="55"/>
        <item x="39"/>
        <item x="11"/>
        <item x="13"/>
        <item x="31"/>
        <item x="36"/>
        <item x="25"/>
        <item x="4"/>
        <item x="19"/>
        <item x="26"/>
        <item x="10"/>
        <item x="18"/>
        <item x="33"/>
        <item x="35"/>
        <item x="41"/>
        <item x="54"/>
        <item x="38"/>
        <item x="27"/>
        <item x="34"/>
        <item x="37"/>
        <item x="45"/>
        <item x="16"/>
        <item x="40"/>
        <item x="46"/>
        <item x="47"/>
        <item x="48"/>
        <item x="17"/>
        <item x="3"/>
        <item x="57"/>
        <item x="43"/>
        <item x="42"/>
        <item x="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4">
    <i>
      <x v="10"/>
    </i>
    <i>
      <x v="11"/>
    </i>
    <i>
      <x v="12"/>
    </i>
    <i t="grand">
      <x/>
    </i>
  </rowItems>
  <colItems count="1">
    <i/>
  </colItems>
  <pageFields count="1">
    <pageField fld="3" hier="-1"/>
  </pageFields>
  <dataFields count="1">
    <dataField name="Sum of Amount" fld="5" baseField="0" baseItem="0"/>
  </dataFields>
  <formats count="1">
    <format dxfId="9">
      <pivotArea grandRow="1"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5321C6-C565-4CE1-8BD0-92BF9AF46B6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8" firstHeaderRow="1" firstDataRow="2" firstDataCol="1"/>
  <pivotFields count="9">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axis="axisCol" showAll="0">
      <items count="4">
        <item x="1"/>
        <item x="0"/>
        <item h="1" m="1" x="2"/>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8"/>
  </rowFields>
  <rowItems count="4">
    <i>
      <x v="10"/>
    </i>
    <i>
      <x v="11"/>
    </i>
    <i>
      <x v="12"/>
    </i>
    <i t="grand">
      <x/>
    </i>
  </rowItems>
  <colFields count="1">
    <field x="3"/>
  </colFields>
  <colItems count="3">
    <i>
      <x/>
    </i>
    <i>
      <x v="1"/>
    </i>
    <i t="grand">
      <x/>
    </i>
  </colItems>
  <dataFields count="1">
    <dataField name="Sum of Amount" fld="5" baseField="0" baseItem="0"/>
  </dataFields>
  <formats count="3">
    <format dxfId="8">
      <pivotArea field="3" grandRow="1" outline="0" collapsedLevelsAreSubtotals="1" axis="axisCol" fieldPosition="0">
        <references count="1">
          <reference field="3" count="1" selected="0">
            <x v="0"/>
          </reference>
        </references>
      </pivotArea>
    </format>
    <format dxfId="7">
      <pivotArea field="3" grandRow="1" outline="0" collapsedLevelsAreSubtotals="1" axis="axisCol" fieldPosition="0">
        <references count="1">
          <reference field="3" count="1" selected="0">
            <x v="1"/>
          </reference>
        </references>
      </pivotArea>
    </format>
    <format dxfId="6">
      <pivotArea grandRow="1" grandCol="1" outline="0" collapsedLevelsAreSubtotals="1" fieldPosition="0"/>
    </format>
  </formats>
  <chartFormats count="2">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280E9A-4F28-4A95-B1B7-C0859A4A0F1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measureFilter="1" sortType="descending">
      <items count="42">
        <item x="3"/>
        <item x="15"/>
        <item x="36"/>
        <item x="24"/>
        <item x="34"/>
        <item x="22"/>
        <item x="4"/>
        <item x="27"/>
        <item x="30"/>
        <item x="35"/>
        <item x="18"/>
        <item x="8"/>
        <item x="1"/>
        <item x="32"/>
        <item x="23"/>
        <item x="37"/>
        <item x="33"/>
        <item x="20"/>
        <item x="10"/>
        <item x="16"/>
        <item x="31"/>
        <item x="17"/>
        <item x="39"/>
        <item x="13"/>
        <item x="5"/>
        <item x="38"/>
        <item x="2"/>
        <item x="14"/>
        <item x="11"/>
        <item x="21"/>
        <item x="19"/>
        <item x="28"/>
        <item x="7"/>
        <item x="9"/>
        <item x="0"/>
        <item x="29"/>
        <item x="26"/>
        <item x="12"/>
        <item x="6"/>
        <item x="25"/>
        <item m="1" x="40"/>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dataField="1"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v="34"/>
    </i>
    <i>
      <x v="8"/>
    </i>
    <i>
      <x v="19"/>
    </i>
    <i>
      <x v="20"/>
    </i>
    <i>
      <x v="17"/>
    </i>
    <i t="grand">
      <x/>
    </i>
  </rowItems>
  <colItems count="1">
    <i/>
  </colItems>
  <dataFields count="1">
    <dataField name="Sum of Amount" fld="5" baseField="0" baseItem="0" numFmtId="164"/>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4"/>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34"/>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28C456-ACAE-4068-8B07-E4E08654702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8" firstHeaderRow="1" firstDataRow="1" firstDataCol="1"/>
  <pivotFields count="7">
    <pivotField numFmtId="14" showAll="0"/>
    <pivotField showAll="0"/>
    <pivotField showAll="0"/>
    <pivotField axis="axisRow" multipleItemSelectionAllowed="1" showAll="0">
      <items count="3">
        <item x="1"/>
        <item h="1" x="0"/>
        <item t="default"/>
      </items>
    </pivotField>
    <pivotField showAll="0"/>
    <pivotField dataField="1" numFmtId="164" showAll="0"/>
    <pivotField axis="axisRow" showAll="0">
      <items count="4">
        <item x="1"/>
        <item x="2"/>
        <item h="1" x="0"/>
        <item t="default"/>
      </items>
    </pivotField>
  </pivotFields>
  <rowFields count="2">
    <field x="6"/>
    <field x="3"/>
  </rowFields>
  <rowItems count="5">
    <i>
      <x/>
    </i>
    <i r="1">
      <x/>
    </i>
    <i>
      <x v="1"/>
    </i>
    <i r="1">
      <x/>
    </i>
    <i t="grand">
      <x/>
    </i>
  </rowItems>
  <colItems count="1">
    <i/>
  </colItems>
  <dataFields count="1">
    <dataField name="Sum of Amount" fld="5" baseField="0" baseItem="0" numFmtId="164"/>
  </dataFields>
  <chartFormats count="15">
    <chartFormat chart="0" format="4"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0" format="5">
      <pivotArea type="data" outline="0" fieldPosition="0">
        <references count="3">
          <reference field="4294967294" count="1" selected="0">
            <x v="0"/>
          </reference>
          <reference field="3" count="1" selected="0">
            <x v="0"/>
          </reference>
          <reference field="6" count="1" selected="0">
            <x v="0"/>
          </reference>
        </references>
      </pivotArea>
    </chartFormat>
    <chartFormat chart="0" format="6">
      <pivotArea type="data" outline="0" fieldPosition="0">
        <references count="3">
          <reference field="4294967294" count="1" selected="0">
            <x v="0"/>
          </reference>
          <reference field="3" count="1" selected="0">
            <x v="0"/>
          </reference>
          <reference field="6" count="1" selected="0">
            <x v="1"/>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3">
          <reference field="4294967294" count="1" selected="0">
            <x v="0"/>
          </reference>
          <reference field="3" count="1" selected="0">
            <x v="0"/>
          </reference>
          <reference field="6" count="1" selected="0">
            <x v="0"/>
          </reference>
        </references>
      </pivotArea>
    </chartFormat>
    <chartFormat chart="9" format="9">
      <pivotArea type="data" outline="0" fieldPosition="0">
        <references count="3">
          <reference field="4294967294" count="1" selected="0">
            <x v="0"/>
          </reference>
          <reference field="3" count="1" selected="0">
            <x v="0"/>
          </reference>
          <reference field="6" count="1" selected="0">
            <x v="1"/>
          </reference>
        </references>
      </pivotArea>
    </chartFormat>
    <chartFormat chart="8" format="13">
      <pivotArea type="data" outline="0" fieldPosition="0">
        <references count="3">
          <reference field="4294967294" count="1" selected="0">
            <x v="0"/>
          </reference>
          <reference field="3" count="1" selected="0">
            <x v="0"/>
          </reference>
          <reference field="6" count="1" selected="0">
            <x v="0"/>
          </reference>
        </references>
      </pivotArea>
    </chartFormat>
    <chartFormat chart="8" format="14">
      <pivotArea type="data" outline="0" fieldPosition="0">
        <references count="3">
          <reference field="4294967294" count="1" selected="0">
            <x v="0"/>
          </reference>
          <reference field="3" count="1" selected="0">
            <x v="0"/>
          </reference>
          <reference field="6" count="1" selected="0">
            <x v="1"/>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3">
          <reference field="4294967294" count="1" selected="0">
            <x v="0"/>
          </reference>
          <reference field="3" count="1" selected="0">
            <x v="0"/>
          </reference>
          <reference field="6" count="1" selected="0">
            <x v="0"/>
          </reference>
        </references>
      </pivotArea>
    </chartFormat>
    <chartFormat chart="14" format="9">
      <pivotArea type="data" outline="0" fieldPosition="0">
        <references count="3">
          <reference field="4294967294" count="1" selected="0">
            <x v="0"/>
          </reference>
          <reference field="3" count="1" selected="0">
            <x v="0"/>
          </reference>
          <reference field="6" count="1" selected="0">
            <x v="1"/>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3">
          <reference field="4294967294" count="1" selected="0">
            <x v="0"/>
          </reference>
          <reference field="3" count="1" selected="0">
            <x v="0"/>
          </reference>
          <reference field="6" count="1" selected="0">
            <x v="0"/>
          </reference>
        </references>
      </pivotArea>
    </chartFormat>
    <chartFormat chart="15" format="12">
      <pivotArea type="data" outline="0" fieldPosition="0">
        <references count="3">
          <reference field="4294967294" count="1" selected="0">
            <x v="0"/>
          </reference>
          <reference field="3"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C2BEF8-03AF-4BBD-8762-B13B9C44A86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rowPageCount="1" colPageCount="1"/>
  <pivotFields count="9">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sortType="ascending">
      <items count="8">
        <item x="5"/>
        <item x="1"/>
        <item x="2"/>
        <item x="4"/>
        <item x="0"/>
        <item x="3"/>
        <item m="1" x="6"/>
        <item t="default"/>
      </items>
      <autoSortScope>
        <pivotArea dataOnly="0" outline="0" fieldPosition="0">
          <references count="1">
            <reference field="4294967294" count="1" selected="0">
              <x v="0"/>
            </reference>
          </references>
        </pivotArea>
      </autoSortScope>
    </pivotField>
    <pivotField axis="axisPage" multipleItemSelectionAllowed="1" showAll="0">
      <items count="4">
        <item x="1"/>
        <item h="1" x="0"/>
        <item h="1" m="1" x="2"/>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5"/>
    </i>
    <i>
      <x v="1"/>
    </i>
    <i>
      <x v="2"/>
    </i>
    <i>
      <x v="3"/>
    </i>
    <i t="grand">
      <x/>
    </i>
  </rowItems>
  <colItems count="1">
    <i/>
  </colItems>
  <pageFields count="1">
    <pageField fld="3" hier="-1"/>
  </pageFields>
  <dataFields count="1">
    <dataField name="Sum of Amount" fld="5" baseField="0" baseItem="0"/>
  </dataFields>
  <formats count="6">
    <format dxfId="5">
      <pivotArea collapsedLevelsAreSubtotals="1" fieldPosition="0">
        <references count="1">
          <reference field="2" count="1">
            <x v="0"/>
          </reference>
        </references>
      </pivotArea>
    </format>
    <format dxfId="4">
      <pivotArea collapsedLevelsAreSubtotals="1" fieldPosition="0">
        <references count="1">
          <reference field="2" count="1">
            <x v="1"/>
          </reference>
        </references>
      </pivotArea>
    </format>
    <format dxfId="3">
      <pivotArea collapsedLevelsAreSubtotals="1" fieldPosition="0">
        <references count="1">
          <reference field="2" count="1">
            <x v="2"/>
          </reference>
        </references>
      </pivotArea>
    </format>
    <format dxfId="2">
      <pivotArea collapsedLevelsAreSubtotals="1" fieldPosition="0">
        <references count="1">
          <reference field="2" count="1">
            <x v="3"/>
          </reference>
        </references>
      </pivotArea>
    </format>
    <format dxfId="1">
      <pivotArea collapsedLevelsAreSubtotals="1" fieldPosition="0">
        <references count="1">
          <reference field="2" count="1">
            <x v="5"/>
          </reference>
        </references>
      </pivotArea>
    </format>
    <format dxfId="0">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F071EA-CB23-4346-9581-9751F0E2B6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axis="axisRow" showAll="0" sortType="descending">
      <items count="4">
        <item x="1"/>
        <item x="0"/>
        <item h="1" m="1" x="2"/>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v="1"/>
    </i>
    <i>
      <x/>
    </i>
    <i t="grand">
      <x/>
    </i>
  </rowItems>
  <colItems count="1">
    <i/>
  </colItems>
  <dataFields count="1">
    <dataField name="Sum of Amount" fld="5" baseField="3" baseItem="0" numFmtId="164"/>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943E02-6639-4888-9390-AB0597FA85C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9" firstHeaderRow="0" firstDataRow="1" firstDataCol="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items count="8">
        <item x="5"/>
        <item x="1"/>
        <item x="2"/>
        <item x="4"/>
        <item h="1" x="0"/>
        <item x="3"/>
        <item h="1" m="1" x="6"/>
        <item t="default"/>
      </items>
    </pivotField>
    <pivotField showAll="0"/>
    <pivotField showAll="0"/>
    <pivotField dataField="1"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5"/>
    </i>
    <i t="grand">
      <x/>
    </i>
  </rowItems>
  <colFields count="1">
    <field x="-2"/>
  </colFields>
  <colItems count="2">
    <i>
      <x/>
    </i>
    <i i="1">
      <x v="1"/>
    </i>
  </colItems>
  <dataFields count="2">
    <dataField name="Sum of Amount" fld="5" baseField="2" baseItem="0" numFmtId="164"/>
    <dataField name="Average of Amount2" fld="5" subtotal="average" baseField="2"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593793-E284-4EF8-A271-F7D41C94EDA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axis="axisCol" showAll="0">
      <items count="4">
        <item x="1"/>
        <item x="0"/>
        <item m="1" x="2"/>
        <item t="default"/>
      </items>
    </pivotField>
    <pivotField axis="axisRow" showAll="0">
      <items count="4">
        <item x="1"/>
        <item x="0"/>
        <item h="1" m="1" x="2"/>
        <item t="default"/>
      </items>
    </pivotField>
    <pivotField dataField="1"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Fields count="1">
    <field x="3"/>
  </colFields>
  <colItems count="3">
    <i>
      <x/>
    </i>
    <i>
      <x v="1"/>
    </i>
    <i t="grand">
      <x/>
    </i>
  </colItems>
  <dataFields count="1">
    <dataField name="Sum of Amount" fld="5" baseField="0" baseItem="0" numFmtId="164"/>
  </dataFields>
  <chartFormats count="3">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0D0F68-51C6-45CF-AA96-19CA3284C1A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rowPageCount="1" colPageCount="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sortType="descending">
      <items count="8">
        <item x="5"/>
        <item x="1"/>
        <item x="2"/>
        <item x="4"/>
        <item x="0"/>
        <item x="3"/>
        <item m="1" x="6"/>
        <item t="default"/>
      </items>
      <autoSortScope>
        <pivotArea dataOnly="0" outline="0" fieldPosition="0">
          <references count="1">
            <reference field="4294967294" count="1" selected="0">
              <x v="0"/>
            </reference>
          </references>
        </pivotArea>
      </autoSortScope>
    </pivotField>
    <pivotField axis="axisPage" multipleItemSelectionAllowed="1" showAll="0">
      <items count="4">
        <item x="1"/>
        <item h="1" x="0"/>
        <item h="1" m="1" x="2"/>
        <item t="default"/>
      </items>
    </pivotField>
    <pivotField showAll="0"/>
    <pivotField dataField="1"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2"/>
    </i>
    <i>
      <x v="3"/>
    </i>
    <i>
      <x v="1"/>
    </i>
    <i>
      <x v="5"/>
    </i>
    <i>
      <x/>
    </i>
    <i t="grand">
      <x/>
    </i>
  </rowItems>
  <colItems count="1">
    <i/>
  </colItems>
  <pageFields count="1">
    <pageField fld="3" hier="-1"/>
  </pageFields>
  <dataFields count="1">
    <dataField name="Count of Amount" fld="5" subtotal="count" baseField="2"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E882B8-822B-4729-B9E7-DFF5A7A8D2D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9" firstHeaderRow="1" firstDataRow="1" firstDataCol="1"/>
  <pivotFields count="9">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sortType="descending">
      <items count="8">
        <item x="5"/>
        <item x="1"/>
        <item x="2"/>
        <item x="4"/>
        <item h="1" x="0"/>
        <item x="3"/>
        <item h="1" m="1" x="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3"/>
    </i>
    <i>
      <x v="2"/>
    </i>
    <i>
      <x v="1"/>
    </i>
    <i>
      <x v="5"/>
    </i>
    <i>
      <x/>
    </i>
    <i t="grand">
      <x/>
    </i>
  </rowItems>
  <colItems count="1">
    <i/>
  </colItems>
  <dataFields count="1">
    <dataField name="Sum of Amount" fld="5" baseField="0" baseItem="0"/>
  </dataFields>
  <formats count="7">
    <format dxfId="28">
      <pivotArea collapsedLevelsAreSubtotals="1" fieldPosition="0">
        <references count="1">
          <reference field="2" count="1">
            <x v="4"/>
          </reference>
        </references>
      </pivotArea>
    </format>
    <format dxfId="27">
      <pivotArea grandRow="1" outline="0" collapsedLevelsAreSubtotals="1" fieldPosition="0"/>
    </format>
    <format dxfId="26">
      <pivotArea collapsedLevelsAreSubtotals="1" fieldPosition="0">
        <references count="1">
          <reference field="2" count="1">
            <x v="3"/>
          </reference>
        </references>
      </pivotArea>
    </format>
    <format dxfId="25">
      <pivotArea collapsedLevelsAreSubtotals="1" fieldPosition="0">
        <references count="1">
          <reference field="2" count="1">
            <x v="2"/>
          </reference>
        </references>
      </pivotArea>
    </format>
    <format dxfId="24">
      <pivotArea collapsedLevelsAreSubtotals="1" fieldPosition="0">
        <references count="1">
          <reference field="2" count="1">
            <x v="1"/>
          </reference>
        </references>
      </pivotArea>
    </format>
    <format dxfId="23">
      <pivotArea collapsedLevelsAreSubtotals="1" fieldPosition="0">
        <references count="1">
          <reference field="2" count="1">
            <x v="5"/>
          </reference>
        </references>
      </pivotArea>
    </format>
    <format dxfId="22">
      <pivotArea collapsedLevelsAreSubtotals="1" fieldPosition="0">
        <references count="1">
          <reference field="2"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_Class" xr10:uid="{8E018FC4-6D67-4EC6-8466-35F82A924224}" sourceName="Fund Class">
  <data>
    <tabular pivotCacheId="2129824419">
      <items count="3">
        <i x="1" s="1"/>
        <i x="0" s="1" nd="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0C91269-FB64-4586-878F-AC6A4740AC1A}" sourceName="Payment Method">
  <data>
    <tabular pivotCacheId="2129824419">
      <items count="3">
        <i x="1" s="1" nd="1"/>
        <i x="0" s="1" nd="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13791C6-E0B5-4EDB-8588-F6F4E013CF3F}" sourceName="Category">
  <data>
    <tabular pivotCacheId="2129824419">
      <items count="7">
        <i x="0" s="1"/>
        <i x="5" s="1" nd="1"/>
        <i x="1" s="1" nd="1"/>
        <i x="2" s="1" nd="1"/>
        <i x="4" s="1" nd="1"/>
        <i x="3" s="1" nd="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C6954D56-67F0-4052-B195-7FEF9BDA0B1C}" sourceName="Months (Date)">
  <pivotTables>
    <pivotTable tabId="30" name="PivotTable1"/>
  </pivotTables>
  <data>
    <tabular pivotCacheId="717308076">
      <items count="14">
        <i x="10" s="1"/>
        <i x="11" s="1"/>
        <i x="12" s="1"/>
        <i x="1" s="1" nd="1"/>
        <i x="2" s="1" nd="1"/>
        <i x="3" s="1" nd="1"/>
        <i x="4" s="1" nd="1"/>
        <i x="5" s="1" nd="1"/>
        <i x="6" s="1" nd="1"/>
        <i x="7" s="1" nd="1"/>
        <i x="8" s="1" nd="1"/>
        <i x="9"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nd Class" xr10:uid="{9838F038-C4ED-4744-8EB2-FCC0CD02DF40}" cache="Slicer_Fund_Class" caption="Fund Class" style="SlicerStyleDark2" rowHeight="241300"/>
  <slicer name="Payment Method" xr10:uid="{AE5C77E4-7BC5-4D18-9808-5504CB69A049}" cache="Slicer_Payment_Method" caption="Payment Method" style="SlicerStyleDark2" rowHeight="241300"/>
  <slicer name="Category" xr10:uid="{EA144C62-E102-412D-B7DF-14F70B8425AB}" cache="Slicer_Category" caption="Category" style="SlicerStyleDark2" rowHeight="241300"/>
  <slicer name="Months (Date)" xr10:uid="{F2E7F5F8-2BE3-406B-8109-1B5E7C9D4C48}" cache="Slicer_Months__Date" caption="Months (Date)"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F75181-7133-41AB-A15E-25D49504C90F}" name="Table1" displayName="Table1" ref="A1:G74" totalsRowCount="1" headerRowDxfId="21" dataDxfId="20">
  <autoFilter ref="A1:G73" xr:uid="{00000000-0009-0000-0000-000000000000}"/>
  <tableColumns count="7">
    <tableColumn id="1" xr3:uid="{B5A28D5F-E9E3-457C-95B9-E7EEA75C7549}" name="Date" dataDxfId="19" totalsRowDxfId="18"/>
    <tableColumn id="2" xr3:uid="{92D01401-A43E-4225-BF5D-FF8596B7FFE1}" name="Description" dataDxfId="17"/>
    <tableColumn id="3" xr3:uid="{CFD73B91-DF9F-4BE3-956E-0FA1A8C93AAF}" name="Category" dataDxfId="16"/>
    <tableColumn id="4" xr3:uid="{0D36251A-82AE-4C2D-90D4-64869AE3B5F2}" name="Fund Class" dataDxfId="15"/>
    <tableColumn id="5" xr3:uid="{AFCFFB51-361E-42F4-9027-B4110745381C}" name="Payment Method" dataDxfId="14"/>
    <tableColumn id="6" xr3:uid="{60FF3A31-8B8C-40C3-9EA5-B15BE5FAC969}" name="Amount" dataDxfId="13" totalsRowDxfId="12"/>
    <tableColumn id="11" xr3:uid="{6B27ED7F-077A-45F3-BC15-AAC63732594D}" name="Expense Type" dataDxfId="11" totalsRowDxfId="1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94E7D-376A-4C2C-8596-D9CDB8BD4379}">
  <dimension ref="A1:O63"/>
  <sheetViews>
    <sheetView showGridLines="0" topLeftCell="A22" zoomScale="90" zoomScaleNormal="90" workbookViewId="0">
      <selection activeCell="R37" sqref="R37"/>
    </sheetView>
  </sheetViews>
  <sheetFormatPr defaultRowHeight="14.4" x14ac:dyDescent="0.55000000000000004"/>
  <cols>
    <col min="1" max="3" width="8.83984375" customWidth="1"/>
  </cols>
  <sheetData>
    <row r="1" spans="1:15" ht="14.4" customHeight="1" x14ac:dyDescent="0.55000000000000004">
      <c r="A1" s="49" t="s">
        <v>76</v>
      </c>
      <c r="B1" s="49"/>
      <c r="C1" s="49"/>
      <c r="D1" s="49"/>
      <c r="E1" s="49"/>
      <c r="F1" s="49"/>
      <c r="G1" s="49"/>
      <c r="H1" s="49"/>
      <c r="I1" s="49"/>
      <c r="J1" s="49"/>
      <c r="K1" s="49"/>
      <c r="L1" s="49"/>
      <c r="M1" s="49"/>
      <c r="N1" s="49"/>
    </row>
    <row r="2" spans="1:15" ht="14.4" customHeight="1" x14ac:dyDescent="0.55000000000000004">
      <c r="A2" s="49"/>
      <c r="B2" s="49"/>
      <c r="C2" s="49"/>
      <c r="D2" s="49"/>
      <c r="E2" s="49"/>
      <c r="F2" s="49"/>
      <c r="G2" s="49"/>
      <c r="H2" s="49"/>
      <c r="I2" s="49"/>
      <c r="J2" s="49"/>
      <c r="K2" s="49"/>
      <c r="L2" s="49"/>
      <c r="M2" s="49"/>
      <c r="N2" s="49"/>
    </row>
    <row r="3" spans="1:15" ht="23.1" x14ac:dyDescent="0.85">
      <c r="A3" s="50" t="s">
        <v>81</v>
      </c>
      <c r="B3" s="50"/>
      <c r="C3" s="50"/>
      <c r="D3" s="50"/>
      <c r="E3" s="50"/>
      <c r="F3" s="50"/>
      <c r="G3" s="50"/>
      <c r="H3" s="50"/>
      <c r="I3" s="50"/>
      <c r="J3" s="50"/>
      <c r="K3" s="50"/>
      <c r="L3" s="50"/>
      <c r="M3" s="50"/>
      <c r="N3" s="50"/>
    </row>
    <row r="4" spans="1:15" ht="0.6" customHeight="1" x14ac:dyDescent="0.55000000000000004"/>
    <row r="5" spans="1:15" ht="46.2" customHeight="1" x14ac:dyDescent="0.95">
      <c r="A5" s="51" t="s">
        <v>77</v>
      </c>
      <c r="B5" s="51"/>
      <c r="C5" s="51"/>
      <c r="D5" s="53" t="s">
        <v>78</v>
      </c>
      <c r="E5" s="53"/>
      <c r="F5" s="53"/>
      <c r="G5" s="54" t="s">
        <v>79</v>
      </c>
      <c r="H5" s="54"/>
      <c r="I5" s="54"/>
      <c r="J5" s="55" t="s">
        <v>80</v>
      </c>
      <c r="K5" s="55"/>
      <c r="L5" s="55"/>
      <c r="M5" s="55"/>
      <c r="N5" s="55"/>
    </row>
    <row r="6" spans="1:15" ht="23.1" x14ac:dyDescent="0.85">
      <c r="A6" s="52">
        <f>GETPIVOTDATA("Amount",'INCOME V EXPENSE'!$A$3,"Fund Class","Income")</f>
        <v>1445900</v>
      </c>
      <c r="B6" s="52"/>
      <c r="C6" s="52"/>
      <c r="D6" s="52">
        <f>GETPIVOTDATA("Amount",'MONTHLY EXPENSES'!$A$3)</f>
        <v>862986</v>
      </c>
      <c r="E6" s="52"/>
      <c r="F6" s="52"/>
      <c r="G6" s="52">
        <f>'SAVINGS RATE'!E8</f>
        <v>582914</v>
      </c>
      <c r="H6" s="52"/>
      <c r="I6" s="52"/>
      <c r="J6" s="56">
        <f>'SAVINGS RATE'!J6</f>
        <v>0.46845796562935438</v>
      </c>
      <c r="K6" s="56"/>
      <c r="L6" s="56"/>
      <c r="M6" s="56"/>
      <c r="N6" s="56"/>
    </row>
    <row r="16" spans="1:15" ht="15.6" x14ac:dyDescent="0.6">
      <c r="O16" s="35"/>
    </row>
    <row r="18" spans="1:11" x14ac:dyDescent="0.55000000000000004">
      <c r="A18" s="36" t="s">
        <v>88</v>
      </c>
      <c r="B18" s="37"/>
      <c r="C18" s="37"/>
      <c r="D18" s="37"/>
      <c r="E18" s="38"/>
      <c r="F18" s="39" t="s">
        <v>87</v>
      </c>
      <c r="G18" s="37"/>
      <c r="H18" s="37"/>
      <c r="I18" s="37"/>
      <c r="J18" s="37"/>
    </row>
    <row r="19" spans="1:11" x14ac:dyDescent="0.55000000000000004">
      <c r="A19" s="37"/>
      <c r="B19" s="37"/>
      <c r="C19" s="37"/>
      <c r="D19" s="37"/>
      <c r="E19" s="38"/>
      <c r="F19" s="37"/>
      <c r="G19" s="37"/>
      <c r="H19" s="37"/>
      <c r="I19" s="37"/>
      <c r="J19" s="37"/>
    </row>
    <row r="20" spans="1:11" ht="14.4" customHeight="1" x14ac:dyDescent="0.55000000000000004">
      <c r="A20" s="19"/>
      <c r="B20" s="19"/>
      <c r="C20" s="19"/>
      <c r="D20" s="19"/>
      <c r="E20" s="19"/>
      <c r="F20" s="19"/>
      <c r="G20" s="21"/>
      <c r="H20" s="21"/>
      <c r="I20" s="21"/>
      <c r="J20" s="21"/>
      <c r="K20" s="21"/>
    </row>
    <row r="21" spans="1:11" x14ac:dyDescent="0.55000000000000004">
      <c r="A21" s="19"/>
      <c r="B21" s="19"/>
      <c r="C21" s="19"/>
      <c r="D21" s="19"/>
      <c r="E21" s="19"/>
      <c r="F21" s="19"/>
      <c r="G21" s="21"/>
      <c r="H21" s="21"/>
      <c r="I21" s="21"/>
      <c r="J21" s="21"/>
      <c r="K21" s="21"/>
    </row>
    <row r="22" spans="1:11" x14ac:dyDescent="0.55000000000000004">
      <c r="A22" s="20"/>
      <c r="B22" s="20"/>
      <c r="C22" s="20"/>
      <c r="D22" s="20"/>
      <c r="E22" s="20"/>
      <c r="F22" s="20"/>
      <c r="G22" s="21"/>
      <c r="H22" s="21"/>
      <c r="I22" s="21"/>
      <c r="J22" s="21"/>
      <c r="K22" s="21"/>
    </row>
    <row r="23" spans="1:11" x14ac:dyDescent="0.55000000000000004">
      <c r="A23" s="20"/>
      <c r="B23" s="20"/>
      <c r="C23" s="20"/>
      <c r="D23" s="20"/>
      <c r="E23" s="20"/>
      <c r="F23" s="20"/>
      <c r="G23" s="21"/>
      <c r="H23" s="21"/>
      <c r="I23" s="21"/>
      <c r="J23" s="21"/>
      <c r="K23" s="21"/>
    </row>
    <row r="24" spans="1:11" x14ac:dyDescent="0.55000000000000004">
      <c r="A24" s="17"/>
      <c r="B24" s="17"/>
      <c r="C24" s="17"/>
      <c r="D24" s="17"/>
      <c r="E24" s="17"/>
      <c r="F24" s="17"/>
      <c r="H24" s="7"/>
    </row>
    <row r="30" spans="1:11" x14ac:dyDescent="0.55000000000000004">
      <c r="A30" s="45" t="s">
        <v>82</v>
      </c>
      <c r="B30" s="37"/>
      <c r="C30" s="37"/>
      <c r="D30" s="37"/>
      <c r="E30" s="38"/>
      <c r="F30" s="46" t="s">
        <v>83</v>
      </c>
      <c r="G30" s="47"/>
      <c r="H30" s="47"/>
      <c r="I30" s="47"/>
      <c r="J30" s="47"/>
      <c r="K30" s="27"/>
    </row>
    <row r="31" spans="1:11" x14ac:dyDescent="0.55000000000000004">
      <c r="A31" s="37"/>
      <c r="B31" s="37"/>
      <c r="C31" s="37"/>
      <c r="D31" s="37"/>
      <c r="E31" s="38"/>
      <c r="F31" s="48"/>
      <c r="G31" s="47"/>
      <c r="H31" s="47"/>
      <c r="I31" s="47"/>
      <c r="J31" s="47"/>
    </row>
    <row r="34" spans="1:11" ht="14.4" customHeight="1" x14ac:dyDescent="0.55000000000000004">
      <c r="A34" s="22"/>
      <c r="B34" s="22"/>
      <c r="C34" s="22"/>
      <c r="D34" s="22"/>
      <c r="E34" s="22"/>
      <c r="F34" s="22"/>
    </row>
    <row r="35" spans="1:11" x14ac:dyDescent="0.55000000000000004">
      <c r="A35" s="22"/>
      <c r="B35" s="22"/>
      <c r="C35" s="22"/>
      <c r="D35" s="22"/>
      <c r="E35" s="22"/>
      <c r="F35" s="22"/>
    </row>
    <row r="36" spans="1:11" ht="14.4" customHeight="1" x14ac:dyDescent="0.55000000000000004">
      <c r="A36" s="22"/>
      <c r="B36" s="22"/>
      <c r="C36" s="22"/>
      <c r="D36" s="22"/>
      <c r="E36" s="22"/>
      <c r="F36" s="22"/>
      <c r="G36" s="24"/>
      <c r="H36" s="24"/>
      <c r="I36" s="24"/>
      <c r="J36" s="24"/>
      <c r="K36" s="24"/>
    </row>
    <row r="37" spans="1:11" x14ac:dyDescent="0.55000000000000004">
      <c r="A37" s="23"/>
      <c r="B37" s="23"/>
      <c r="C37" s="23"/>
      <c r="D37" s="23"/>
      <c r="E37" s="23"/>
      <c r="F37" s="23"/>
      <c r="G37" s="24"/>
      <c r="H37" s="24"/>
      <c r="I37" s="24"/>
      <c r="J37" s="24"/>
      <c r="K37" s="24"/>
    </row>
    <row r="38" spans="1:11" x14ac:dyDescent="0.55000000000000004">
      <c r="A38" s="23"/>
      <c r="B38" s="23"/>
      <c r="C38" s="23"/>
      <c r="D38" s="23"/>
      <c r="E38" s="23"/>
      <c r="F38" s="23"/>
      <c r="G38" s="24"/>
      <c r="H38" s="24"/>
      <c r="I38" s="24"/>
      <c r="J38" s="24"/>
      <c r="K38" s="24"/>
    </row>
    <row r="39" spans="1:11" x14ac:dyDescent="0.55000000000000004">
      <c r="A39" s="23"/>
      <c r="B39" s="23"/>
      <c r="C39" s="23"/>
      <c r="D39" s="23"/>
      <c r="E39" s="23"/>
      <c r="F39" s="23"/>
      <c r="G39" s="24"/>
      <c r="H39" s="24"/>
      <c r="I39" s="24"/>
      <c r="J39" s="24"/>
      <c r="K39" s="24"/>
    </row>
    <row r="40" spans="1:11" x14ac:dyDescent="0.55000000000000004">
      <c r="A40" s="23"/>
      <c r="B40" s="23"/>
      <c r="C40" s="23"/>
      <c r="D40" s="23"/>
      <c r="E40" s="23"/>
      <c r="F40" s="23"/>
      <c r="G40" s="24"/>
      <c r="H40" s="24"/>
      <c r="I40" s="24"/>
      <c r="J40" s="24"/>
      <c r="K40" s="24"/>
    </row>
    <row r="41" spans="1:11" x14ac:dyDescent="0.55000000000000004">
      <c r="A41" s="23"/>
      <c r="B41" s="23"/>
      <c r="C41" s="23"/>
      <c r="D41" s="23"/>
      <c r="E41" s="23"/>
      <c r="F41" s="23"/>
      <c r="G41" s="24"/>
      <c r="H41" s="24"/>
      <c r="I41" s="24"/>
      <c r="J41" s="24"/>
      <c r="K41" s="24"/>
    </row>
    <row r="42" spans="1:11" x14ac:dyDescent="0.55000000000000004">
      <c r="A42" s="23"/>
      <c r="B42" s="23"/>
      <c r="C42" s="23"/>
      <c r="D42" s="23"/>
      <c r="E42" s="23"/>
      <c r="F42" s="23"/>
      <c r="G42" s="24"/>
      <c r="H42" s="24"/>
      <c r="I42" s="24"/>
      <c r="J42" s="24"/>
      <c r="K42" s="24"/>
    </row>
    <row r="43" spans="1:11" x14ac:dyDescent="0.55000000000000004">
      <c r="A43" s="41" t="s">
        <v>84</v>
      </c>
      <c r="B43" s="42"/>
      <c r="C43" s="42"/>
      <c r="D43" s="42"/>
      <c r="E43" s="42"/>
      <c r="F43" s="43" t="s">
        <v>85</v>
      </c>
      <c r="G43" s="44"/>
      <c r="H43" s="44"/>
      <c r="I43" s="44"/>
      <c r="J43" s="44"/>
    </row>
    <row r="44" spans="1:11" x14ac:dyDescent="0.55000000000000004">
      <c r="A44" s="42"/>
      <c r="B44" s="42"/>
      <c r="C44" s="42"/>
      <c r="D44" s="42"/>
      <c r="E44" s="42"/>
      <c r="F44" s="44"/>
      <c r="G44" s="44"/>
      <c r="H44" s="44"/>
      <c r="I44" s="44"/>
      <c r="J44" s="44"/>
    </row>
    <row r="57" spans="1:11" ht="14.4" customHeight="1" x14ac:dyDescent="0.55000000000000004">
      <c r="A57" s="25"/>
      <c r="B57" s="26"/>
      <c r="C57" s="40"/>
      <c r="D57" s="40"/>
      <c r="E57" s="40"/>
      <c r="F57" s="40"/>
      <c r="G57" s="24"/>
      <c r="H57" s="23"/>
      <c r="I57" s="23"/>
      <c r="J57" s="23"/>
      <c r="K57" s="23"/>
    </row>
    <row r="58" spans="1:11" x14ac:dyDescent="0.55000000000000004">
      <c r="A58" s="26"/>
      <c r="B58" s="26"/>
      <c r="C58" s="40"/>
      <c r="D58" s="40"/>
      <c r="E58" s="40"/>
      <c r="F58" s="40"/>
      <c r="G58" s="23"/>
      <c r="H58" s="23"/>
      <c r="I58" s="23"/>
      <c r="J58" s="23"/>
      <c r="K58" s="23"/>
    </row>
    <row r="59" spans="1:11" x14ac:dyDescent="0.55000000000000004">
      <c r="A59" s="26"/>
      <c r="B59" s="26"/>
      <c r="C59" s="40"/>
      <c r="D59" s="40"/>
      <c r="E59" s="40"/>
      <c r="F59" s="40"/>
      <c r="G59" s="23"/>
      <c r="H59" s="23"/>
      <c r="I59" s="23"/>
      <c r="J59" s="23"/>
      <c r="K59" s="23"/>
    </row>
    <row r="60" spans="1:11" x14ac:dyDescent="0.55000000000000004">
      <c r="A60" s="26"/>
      <c r="B60" s="26"/>
      <c r="C60" s="40"/>
      <c r="D60" s="40"/>
      <c r="E60" s="40"/>
      <c r="F60" s="40"/>
      <c r="G60" s="23"/>
      <c r="H60" s="23"/>
      <c r="I60" s="23"/>
      <c r="J60" s="23"/>
      <c r="K60" s="23"/>
    </row>
    <row r="61" spans="1:11" x14ac:dyDescent="0.55000000000000004">
      <c r="A61" s="26"/>
      <c r="B61" s="26"/>
      <c r="C61" s="40"/>
      <c r="D61" s="40"/>
      <c r="E61" s="40"/>
      <c r="F61" s="40"/>
      <c r="G61" s="23"/>
      <c r="H61" s="23"/>
      <c r="I61" s="23"/>
      <c r="J61" s="23"/>
      <c r="K61" s="23"/>
    </row>
    <row r="62" spans="1:11" x14ac:dyDescent="0.55000000000000004">
      <c r="A62" s="26"/>
      <c r="B62" s="26"/>
      <c r="C62" s="40"/>
      <c r="D62" s="40"/>
      <c r="E62" s="40"/>
      <c r="F62" s="40"/>
      <c r="G62" s="23"/>
      <c r="H62" s="23"/>
      <c r="I62" s="23"/>
      <c r="J62" s="23"/>
      <c r="K62" s="23"/>
    </row>
    <row r="63" spans="1:11" x14ac:dyDescent="0.55000000000000004">
      <c r="G63" s="23"/>
      <c r="H63" s="23"/>
      <c r="I63" s="23"/>
      <c r="J63" s="23"/>
      <c r="K63" s="23"/>
    </row>
  </sheetData>
  <mergeCells count="17">
    <mergeCell ref="A1:N2"/>
    <mergeCell ref="A3:N3"/>
    <mergeCell ref="A5:C5"/>
    <mergeCell ref="A6:C6"/>
    <mergeCell ref="D5:F5"/>
    <mergeCell ref="D6:F6"/>
    <mergeCell ref="G5:I5"/>
    <mergeCell ref="G6:I6"/>
    <mergeCell ref="J5:N5"/>
    <mergeCell ref="J6:N6"/>
    <mergeCell ref="A18:E19"/>
    <mergeCell ref="F18:J19"/>
    <mergeCell ref="C57:F62"/>
    <mergeCell ref="A43:E44"/>
    <mergeCell ref="F43:J44"/>
    <mergeCell ref="A30:E31"/>
    <mergeCell ref="F30:J31"/>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D2CC5-33DF-4239-9FB9-C68B925D4423}">
  <dimension ref="A1:J1000"/>
  <sheetViews>
    <sheetView workbookViewId="0">
      <selection activeCell="F57" sqref="F57"/>
    </sheetView>
  </sheetViews>
  <sheetFormatPr defaultColWidth="14.41796875" defaultRowHeight="15" customHeight="1" x14ac:dyDescent="0.55000000000000004"/>
  <cols>
    <col min="1" max="1" width="10.41796875" customWidth="1"/>
    <col min="2" max="2" width="29.578125" customWidth="1"/>
    <col min="3" max="3" width="19.68359375" customWidth="1"/>
    <col min="4" max="4" width="11.83984375" customWidth="1"/>
    <col min="5" max="5" width="17.578125" customWidth="1"/>
    <col min="6" max="6" width="9.68359375" customWidth="1"/>
    <col min="7" max="9" width="8.68359375" customWidth="1"/>
    <col min="10" max="10" width="30.41796875" bestFit="1" customWidth="1"/>
    <col min="11" max="26" width="8.68359375" customWidth="1"/>
  </cols>
  <sheetData>
    <row r="1" spans="1:10" ht="14.25" customHeight="1" x14ac:dyDescent="0.55000000000000004">
      <c r="A1" s="1" t="s">
        <v>0</v>
      </c>
      <c r="B1" s="1" t="s">
        <v>1</v>
      </c>
      <c r="C1" s="1" t="s">
        <v>2</v>
      </c>
      <c r="D1" s="1" t="s">
        <v>3</v>
      </c>
      <c r="E1" s="1" t="s">
        <v>4</v>
      </c>
      <c r="F1" s="1" t="s">
        <v>5</v>
      </c>
    </row>
    <row r="2" spans="1:10" ht="14.25" customHeight="1" x14ac:dyDescent="0.55000000000000004">
      <c r="A2" s="2">
        <v>44835</v>
      </c>
      <c r="B2" s="1" t="s">
        <v>6</v>
      </c>
      <c r="C2" s="1" t="s">
        <v>7</v>
      </c>
      <c r="D2" s="1" t="s">
        <v>7</v>
      </c>
      <c r="E2" s="1" t="s">
        <v>8</v>
      </c>
      <c r="F2" s="1">
        <v>400000</v>
      </c>
    </row>
    <row r="3" spans="1:10" ht="14.25" customHeight="1" x14ac:dyDescent="0.55000000000000004">
      <c r="A3" s="2">
        <v>44835</v>
      </c>
      <c r="B3" s="1" t="s">
        <v>9</v>
      </c>
      <c r="C3" s="1" t="s">
        <v>10</v>
      </c>
      <c r="D3" s="1" t="s">
        <v>11</v>
      </c>
      <c r="E3" s="1" t="s">
        <v>8</v>
      </c>
      <c r="F3" s="1">
        <v>7092</v>
      </c>
    </row>
    <row r="4" spans="1:10" ht="14.25" customHeight="1" x14ac:dyDescent="0.55000000000000004">
      <c r="A4" s="2">
        <v>44836</v>
      </c>
      <c r="B4" s="1" t="s">
        <v>12</v>
      </c>
      <c r="C4" s="1" t="s">
        <v>13</v>
      </c>
      <c r="D4" s="1" t="s">
        <v>11</v>
      </c>
      <c r="E4" s="1" t="s">
        <v>14</v>
      </c>
      <c r="F4" s="1">
        <v>5403</v>
      </c>
    </row>
    <row r="5" spans="1:10" ht="14.25" customHeight="1" x14ac:dyDescent="0.55000000000000004">
      <c r="A5" s="2">
        <v>44837</v>
      </c>
      <c r="B5" s="1" t="s">
        <v>15</v>
      </c>
      <c r="C5" s="1" t="s">
        <v>16</v>
      </c>
      <c r="D5" s="1" t="s">
        <v>11</v>
      </c>
      <c r="E5" s="1" t="s">
        <v>14</v>
      </c>
      <c r="F5" s="1">
        <v>60000</v>
      </c>
      <c r="J5" s="3" t="s">
        <v>55</v>
      </c>
    </row>
    <row r="6" spans="1:10" ht="14.25" customHeight="1" x14ac:dyDescent="0.55000000000000004">
      <c r="A6" s="2">
        <v>44842</v>
      </c>
      <c r="B6" s="1" t="s">
        <v>17</v>
      </c>
      <c r="C6" s="1" t="s">
        <v>13</v>
      </c>
      <c r="D6" s="1" t="s">
        <v>11</v>
      </c>
      <c r="E6" s="1" t="s">
        <v>8</v>
      </c>
      <c r="F6" s="1">
        <v>8844</v>
      </c>
      <c r="J6" t="s">
        <v>56</v>
      </c>
    </row>
    <row r="7" spans="1:10" ht="14.25" customHeight="1" x14ac:dyDescent="0.55000000000000004">
      <c r="A7" s="2">
        <v>44843</v>
      </c>
      <c r="B7" s="1" t="s">
        <v>18</v>
      </c>
      <c r="C7" s="1" t="s">
        <v>13</v>
      </c>
      <c r="D7" s="1" t="s">
        <v>11</v>
      </c>
      <c r="E7" s="1" t="s">
        <v>8</v>
      </c>
      <c r="F7" s="1">
        <v>7752</v>
      </c>
      <c r="J7" t="s">
        <v>57</v>
      </c>
    </row>
    <row r="8" spans="1:10" ht="14.25" customHeight="1" x14ac:dyDescent="0.55000000000000004">
      <c r="A8" s="2">
        <v>44843</v>
      </c>
      <c r="B8" s="1" t="s">
        <v>19</v>
      </c>
      <c r="C8" s="1" t="s">
        <v>16</v>
      </c>
      <c r="D8" s="1" t="s">
        <v>11</v>
      </c>
      <c r="E8" s="1" t="s">
        <v>8</v>
      </c>
      <c r="F8" s="1">
        <v>6621</v>
      </c>
      <c r="J8" t="s">
        <v>58</v>
      </c>
    </row>
    <row r="9" spans="1:10" ht="14.25" customHeight="1" x14ac:dyDescent="0.55000000000000004">
      <c r="A9" s="2">
        <v>44844</v>
      </c>
      <c r="B9" s="1" t="s">
        <v>20</v>
      </c>
      <c r="C9" s="1" t="s">
        <v>10</v>
      </c>
      <c r="D9" s="1" t="s">
        <v>11</v>
      </c>
      <c r="E9" s="1" t="s">
        <v>14</v>
      </c>
      <c r="F9" s="1">
        <v>5347</v>
      </c>
      <c r="J9" t="s">
        <v>59</v>
      </c>
    </row>
    <row r="10" spans="1:10" ht="14.25" customHeight="1" x14ac:dyDescent="0.55000000000000004">
      <c r="A10" s="2">
        <v>44845</v>
      </c>
      <c r="B10" s="1" t="s">
        <v>21</v>
      </c>
      <c r="C10" s="1" t="s">
        <v>13</v>
      </c>
      <c r="D10" s="1" t="s">
        <v>11</v>
      </c>
      <c r="E10" s="1" t="s">
        <v>14</v>
      </c>
      <c r="F10" s="1">
        <v>5366</v>
      </c>
    </row>
    <row r="11" spans="1:10" ht="14.25" customHeight="1" x14ac:dyDescent="0.55000000000000004">
      <c r="A11" s="2">
        <v>44850</v>
      </c>
      <c r="B11" s="1" t="s">
        <v>22</v>
      </c>
      <c r="C11" s="1" t="s">
        <v>23</v>
      </c>
      <c r="D11" s="1" t="s">
        <v>11</v>
      </c>
      <c r="E11" s="1" t="s">
        <v>8</v>
      </c>
      <c r="F11" s="1">
        <v>7449</v>
      </c>
    </row>
    <row r="12" spans="1:10" ht="14.25" customHeight="1" x14ac:dyDescent="0.55000000000000004">
      <c r="A12" s="2">
        <v>44853</v>
      </c>
      <c r="B12" s="1" t="s">
        <v>24</v>
      </c>
      <c r="C12" s="1" t="s">
        <v>16</v>
      </c>
      <c r="D12" s="1" t="s">
        <v>11</v>
      </c>
      <c r="E12" s="1" t="s">
        <v>14</v>
      </c>
      <c r="F12" s="1">
        <v>9800</v>
      </c>
    </row>
    <row r="13" spans="1:10" ht="14.25" customHeight="1" x14ac:dyDescent="0.55000000000000004">
      <c r="A13" s="2">
        <v>44853</v>
      </c>
      <c r="B13" s="1" t="s">
        <v>25</v>
      </c>
      <c r="C13" s="1" t="s">
        <v>13</v>
      </c>
      <c r="D13" s="1" t="s">
        <v>11</v>
      </c>
      <c r="E13" s="1" t="s">
        <v>14</v>
      </c>
      <c r="F13" s="1">
        <v>8492</v>
      </c>
    </row>
    <row r="14" spans="1:10" ht="14.25" customHeight="1" x14ac:dyDescent="0.55000000000000004">
      <c r="A14" s="2">
        <v>44854</v>
      </c>
      <c r="B14" s="1" t="s">
        <v>26</v>
      </c>
      <c r="C14" s="1" t="s">
        <v>10</v>
      </c>
      <c r="D14" s="1" t="s">
        <v>11</v>
      </c>
      <c r="E14" s="1" t="s">
        <v>8</v>
      </c>
      <c r="F14" s="1">
        <v>4300</v>
      </c>
    </row>
    <row r="15" spans="1:10" ht="14.25" customHeight="1" x14ac:dyDescent="0.55000000000000004">
      <c r="A15" s="2">
        <v>44858</v>
      </c>
      <c r="B15" s="1" t="s">
        <v>27</v>
      </c>
      <c r="C15" s="1" t="s">
        <v>13</v>
      </c>
      <c r="D15" s="1" t="s">
        <v>11</v>
      </c>
      <c r="E15" s="1" t="s">
        <v>14</v>
      </c>
      <c r="F15" s="1">
        <v>8647</v>
      </c>
    </row>
    <row r="16" spans="1:10" ht="14.25" customHeight="1" x14ac:dyDescent="0.55000000000000004">
      <c r="A16" s="2">
        <v>44858</v>
      </c>
      <c r="B16" s="1" t="s">
        <v>22</v>
      </c>
      <c r="C16" s="1" t="s">
        <v>23</v>
      </c>
      <c r="D16" s="1" t="s">
        <v>11</v>
      </c>
      <c r="E16" s="1" t="s">
        <v>14</v>
      </c>
      <c r="F16" s="1">
        <v>6714</v>
      </c>
    </row>
    <row r="17" spans="1:6" ht="14.25" customHeight="1" x14ac:dyDescent="0.55000000000000004">
      <c r="A17" s="2">
        <v>44858</v>
      </c>
      <c r="B17" s="1" t="s">
        <v>28</v>
      </c>
      <c r="C17" s="1" t="s">
        <v>10</v>
      </c>
      <c r="D17" s="1" t="s">
        <v>11</v>
      </c>
      <c r="E17" s="1" t="s">
        <v>8</v>
      </c>
      <c r="F17" s="1">
        <v>5079</v>
      </c>
    </row>
    <row r="18" spans="1:6" ht="14.25" customHeight="1" x14ac:dyDescent="0.55000000000000004">
      <c r="A18" s="2">
        <v>44859</v>
      </c>
      <c r="B18" s="1" t="s">
        <v>29</v>
      </c>
      <c r="C18" s="1" t="s">
        <v>30</v>
      </c>
      <c r="D18" s="1" t="s">
        <v>11</v>
      </c>
      <c r="E18" s="1" t="s">
        <v>14</v>
      </c>
      <c r="F18" s="1">
        <v>17600</v>
      </c>
    </row>
    <row r="19" spans="1:6" ht="14.25" customHeight="1" x14ac:dyDescent="0.55000000000000004">
      <c r="A19" s="2">
        <v>44859</v>
      </c>
      <c r="B19" s="1" t="s">
        <v>31</v>
      </c>
      <c r="C19" s="1" t="s">
        <v>23</v>
      </c>
      <c r="D19" s="1" t="s">
        <v>11</v>
      </c>
      <c r="E19" s="1" t="s">
        <v>14</v>
      </c>
      <c r="F19" s="1">
        <v>50000</v>
      </c>
    </row>
    <row r="20" spans="1:6" ht="14.25" customHeight="1" x14ac:dyDescent="0.55000000000000004">
      <c r="A20" s="2">
        <v>44860</v>
      </c>
      <c r="B20" s="1" t="s">
        <v>32</v>
      </c>
      <c r="C20" s="1" t="s">
        <v>23</v>
      </c>
      <c r="D20" s="1" t="s">
        <v>11</v>
      </c>
      <c r="E20" s="1" t="s">
        <v>8</v>
      </c>
      <c r="F20" s="1">
        <v>10000</v>
      </c>
    </row>
    <row r="21" spans="1:6" ht="14.25" customHeight="1" x14ac:dyDescent="0.55000000000000004">
      <c r="A21" s="2">
        <v>44860</v>
      </c>
      <c r="B21" s="1" t="s">
        <v>33</v>
      </c>
      <c r="C21" s="1" t="s">
        <v>13</v>
      </c>
      <c r="D21" s="1" t="s">
        <v>11</v>
      </c>
      <c r="E21" s="1" t="s">
        <v>14</v>
      </c>
      <c r="F21" s="1">
        <v>8963</v>
      </c>
    </row>
    <row r="22" spans="1:6" ht="14.25" customHeight="1" x14ac:dyDescent="0.55000000000000004">
      <c r="A22" s="2">
        <v>44861</v>
      </c>
      <c r="B22" s="1" t="s">
        <v>34</v>
      </c>
      <c r="C22" s="1" t="s">
        <v>10</v>
      </c>
      <c r="D22" s="1" t="s">
        <v>11</v>
      </c>
      <c r="E22" s="1" t="s">
        <v>8</v>
      </c>
      <c r="F22" s="1">
        <v>6509</v>
      </c>
    </row>
    <row r="23" spans="1:6" ht="14.25" customHeight="1" x14ac:dyDescent="0.55000000000000004">
      <c r="A23" s="2">
        <v>44862</v>
      </c>
      <c r="B23" s="1" t="s">
        <v>35</v>
      </c>
      <c r="C23" s="1" t="s">
        <v>13</v>
      </c>
      <c r="D23" s="1" t="s">
        <v>11</v>
      </c>
      <c r="E23" s="1" t="s">
        <v>8</v>
      </c>
      <c r="F23" s="1">
        <v>6641</v>
      </c>
    </row>
    <row r="24" spans="1:6" ht="14.25" customHeight="1" x14ac:dyDescent="0.55000000000000004">
      <c r="A24" s="2">
        <v>44864</v>
      </c>
      <c r="B24" s="1" t="s">
        <v>36</v>
      </c>
      <c r="C24" s="1" t="s">
        <v>16</v>
      </c>
      <c r="D24" s="1" t="s">
        <v>11</v>
      </c>
      <c r="E24" s="1" t="s">
        <v>8</v>
      </c>
      <c r="F24" s="1">
        <v>1940</v>
      </c>
    </row>
    <row r="25" spans="1:6" ht="14.25" customHeight="1" x14ac:dyDescent="0.55000000000000004">
      <c r="A25" s="2">
        <v>44866</v>
      </c>
      <c r="B25" s="1" t="s">
        <v>6</v>
      </c>
      <c r="C25" s="1" t="s">
        <v>7</v>
      </c>
      <c r="D25" s="1" t="s">
        <v>7</v>
      </c>
      <c r="E25" s="1" t="s">
        <v>8</v>
      </c>
      <c r="F25" s="1">
        <v>400000</v>
      </c>
    </row>
    <row r="26" spans="1:6" ht="14.25" customHeight="1" x14ac:dyDescent="0.55000000000000004">
      <c r="A26" s="2">
        <v>44869</v>
      </c>
      <c r="B26" s="1" t="s">
        <v>21</v>
      </c>
      <c r="C26" s="1" t="s">
        <v>13</v>
      </c>
      <c r="D26" s="1" t="s">
        <v>11</v>
      </c>
      <c r="E26" s="1" t="s">
        <v>14</v>
      </c>
      <c r="F26" s="1">
        <v>5950</v>
      </c>
    </row>
    <row r="27" spans="1:6" ht="14.25" customHeight="1" x14ac:dyDescent="0.55000000000000004">
      <c r="A27" s="2">
        <v>44872</v>
      </c>
      <c r="B27" s="1" t="s">
        <v>37</v>
      </c>
      <c r="C27" s="1" t="s">
        <v>13</v>
      </c>
      <c r="D27" s="1" t="s">
        <v>11</v>
      </c>
      <c r="E27" s="1" t="s">
        <v>14</v>
      </c>
      <c r="F27" s="1">
        <v>7957</v>
      </c>
    </row>
    <row r="28" spans="1:6" ht="14.25" customHeight="1" x14ac:dyDescent="0.55000000000000004">
      <c r="A28" s="2">
        <v>44874</v>
      </c>
      <c r="B28" s="1" t="s">
        <v>35</v>
      </c>
      <c r="C28" s="1" t="s">
        <v>13</v>
      </c>
      <c r="D28" s="1" t="s">
        <v>11</v>
      </c>
      <c r="E28" s="1" t="s">
        <v>14</v>
      </c>
      <c r="F28" s="1">
        <v>8782</v>
      </c>
    </row>
    <row r="29" spans="1:6" ht="14.25" customHeight="1" x14ac:dyDescent="0.55000000000000004">
      <c r="A29" s="2">
        <v>44875</v>
      </c>
      <c r="B29" s="1" t="s">
        <v>38</v>
      </c>
      <c r="C29" s="1" t="s">
        <v>23</v>
      </c>
      <c r="D29" s="1" t="s">
        <v>11</v>
      </c>
      <c r="E29" s="1" t="s">
        <v>14</v>
      </c>
      <c r="F29" s="1">
        <v>9642</v>
      </c>
    </row>
    <row r="30" spans="1:6" ht="14.25" customHeight="1" x14ac:dyDescent="0.55000000000000004">
      <c r="A30" s="2">
        <v>44876</v>
      </c>
      <c r="B30" s="1" t="s">
        <v>35</v>
      </c>
      <c r="C30" s="1" t="s">
        <v>13</v>
      </c>
      <c r="D30" s="1" t="s">
        <v>11</v>
      </c>
      <c r="E30" s="1" t="s">
        <v>14</v>
      </c>
      <c r="F30" s="1">
        <v>12109</v>
      </c>
    </row>
    <row r="31" spans="1:6" ht="14.25" customHeight="1" x14ac:dyDescent="0.55000000000000004">
      <c r="A31" s="2">
        <v>44878</v>
      </c>
      <c r="B31" s="1" t="s">
        <v>39</v>
      </c>
      <c r="C31" s="1" t="s">
        <v>10</v>
      </c>
      <c r="D31" s="1" t="s">
        <v>11</v>
      </c>
      <c r="E31" s="1" t="s">
        <v>8</v>
      </c>
      <c r="F31" s="1">
        <v>7149</v>
      </c>
    </row>
    <row r="32" spans="1:6" ht="14.25" customHeight="1" x14ac:dyDescent="0.55000000000000004">
      <c r="A32" s="2">
        <v>44878</v>
      </c>
      <c r="B32" s="1" t="s">
        <v>22</v>
      </c>
      <c r="C32" s="1" t="s">
        <v>23</v>
      </c>
      <c r="D32" s="1" t="s">
        <v>11</v>
      </c>
      <c r="E32" s="1" t="s">
        <v>8</v>
      </c>
      <c r="F32" s="1">
        <v>6392</v>
      </c>
    </row>
    <row r="33" spans="1:6" ht="14.25" customHeight="1" x14ac:dyDescent="0.55000000000000004">
      <c r="A33" s="2">
        <v>44881</v>
      </c>
      <c r="B33" s="1" t="s">
        <v>22</v>
      </c>
      <c r="C33" s="1" t="s">
        <v>23</v>
      </c>
      <c r="D33" s="1" t="s">
        <v>11</v>
      </c>
      <c r="E33" s="1" t="s">
        <v>14</v>
      </c>
      <c r="F33" s="1">
        <v>5014</v>
      </c>
    </row>
    <row r="34" spans="1:6" ht="14.25" customHeight="1" x14ac:dyDescent="0.55000000000000004">
      <c r="A34" s="2">
        <v>44882</v>
      </c>
      <c r="B34" s="1" t="s">
        <v>35</v>
      </c>
      <c r="C34" s="1" t="s">
        <v>13</v>
      </c>
      <c r="D34" s="1" t="s">
        <v>11</v>
      </c>
      <c r="E34" s="1" t="s">
        <v>8</v>
      </c>
      <c r="F34" s="1">
        <v>8691</v>
      </c>
    </row>
    <row r="35" spans="1:6" ht="14.25" customHeight="1" x14ac:dyDescent="0.55000000000000004">
      <c r="A35" s="2">
        <v>44882</v>
      </c>
      <c r="B35" s="1" t="s">
        <v>40</v>
      </c>
      <c r="C35" s="1" t="s">
        <v>16</v>
      </c>
      <c r="D35" s="1" t="s">
        <v>11</v>
      </c>
      <c r="E35" s="1" t="s">
        <v>14</v>
      </c>
      <c r="F35" s="1">
        <v>6026</v>
      </c>
    </row>
    <row r="36" spans="1:6" ht="14.25" customHeight="1" x14ac:dyDescent="0.55000000000000004">
      <c r="A36" s="2">
        <v>44884</v>
      </c>
      <c r="B36" s="1" t="s">
        <v>24</v>
      </c>
      <c r="C36" s="1" t="s">
        <v>16</v>
      </c>
      <c r="D36" s="1" t="s">
        <v>11</v>
      </c>
      <c r="E36" s="1" t="s">
        <v>8</v>
      </c>
      <c r="F36" s="1">
        <v>9800</v>
      </c>
    </row>
    <row r="37" spans="1:6" ht="14.25" customHeight="1" x14ac:dyDescent="0.55000000000000004">
      <c r="A37" s="2">
        <v>44885</v>
      </c>
      <c r="B37" s="1" t="s">
        <v>35</v>
      </c>
      <c r="C37" s="1" t="s">
        <v>13</v>
      </c>
      <c r="D37" s="1" t="s">
        <v>11</v>
      </c>
      <c r="E37" s="1" t="s">
        <v>14</v>
      </c>
      <c r="F37" s="1">
        <v>10854</v>
      </c>
    </row>
    <row r="38" spans="1:6" ht="14.25" customHeight="1" x14ac:dyDescent="0.55000000000000004">
      <c r="A38" s="2">
        <v>44885</v>
      </c>
      <c r="B38" s="1" t="s">
        <v>21</v>
      </c>
      <c r="C38" s="1" t="s">
        <v>13</v>
      </c>
      <c r="D38" s="1" t="s">
        <v>11</v>
      </c>
      <c r="E38" s="1" t="s">
        <v>8</v>
      </c>
      <c r="F38" s="1">
        <v>12734</v>
      </c>
    </row>
    <row r="39" spans="1:6" ht="14.25" customHeight="1" x14ac:dyDescent="0.55000000000000004">
      <c r="A39" s="2">
        <v>44885</v>
      </c>
      <c r="B39" s="1" t="s">
        <v>35</v>
      </c>
      <c r="C39" s="1" t="s">
        <v>13</v>
      </c>
      <c r="D39" s="1" t="s">
        <v>11</v>
      </c>
      <c r="E39" s="1" t="s">
        <v>8</v>
      </c>
      <c r="F39" s="1">
        <v>10900</v>
      </c>
    </row>
    <row r="40" spans="1:6" ht="14.25" customHeight="1" x14ac:dyDescent="0.55000000000000004">
      <c r="A40" s="2">
        <v>44888</v>
      </c>
      <c r="B40" s="1" t="s">
        <v>21</v>
      </c>
      <c r="C40" s="1" t="s">
        <v>13</v>
      </c>
      <c r="D40" s="1" t="s">
        <v>11</v>
      </c>
      <c r="E40" s="1" t="s">
        <v>8</v>
      </c>
      <c r="F40" s="1">
        <v>8713</v>
      </c>
    </row>
    <row r="41" spans="1:6" ht="14.25" customHeight="1" x14ac:dyDescent="0.55000000000000004">
      <c r="A41" s="2">
        <v>44889</v>
      </c>
      <c r="B41" s="1" t="s">
        <v>26</v>
      </c>
      <c r="C41" s="1" t="s">
        <v>10</v>
      </c>
      <c r="D41" s="1" t="s">
        <v>11</v>
      </c>
      <c r="E41" s="1" t="s">
        <v>8</v>
      </c>
      <c r="F41" s="1">
        <v>4300</v>
      </c>
    </row>
    <row r="42" spans="1:6" ht="14.25" customHeight="1" x14ac:dyDescent="0.55000000000000004">
      <c r="A42" s="2">
        <v>44890</v>
      </c>
      <c r="B42" s="1" t="s">
        <v>31</v>
      </c>
      <c r="C42" s="1" t="s">
        <v>23</v>
      </c>
      <c r="D42" s="1" t="s">
        <v>11</v>
      </c>
      <c r="E42" s="1" t="s">
        <v>8</v>
      </c>
      <c r="F42" s="1">
        <v>50000</v>
      </c>
    </row>
    <row r="43" spans="1:6" ht="14.25" customHeight="1" x14ac:dyDescent="0.55000000000000004">
      <c r="A43" s="2">
        <v>44891</v>
      </c>
      <c r="B43" s="1" t="s">
        <v>32</v>
      </c>
      <c r="C43" s="1" t="s">
        <v>23</v>
      </c>
      <c r="D43" s="1" t="s">
        <v>11</v>
      </c>
      <c r="E43" s="1" t="s">
        <v>14</v>
      </c>
      <c r="F43" s="1">
        <v>10000</v>
      </c>
    </row>
    <row r="44" spans="1:6" ht="14.25" customHeight="1" x14ac:dyDescent="0.55000000000000004">
      <c r="A44" s="2">
        <v>44892</v>
      </c>
      <c r="B44" s="1" t="s">
        <v>41</v>
      </c>
      <c r="C44" s="1" t="s">
        <v>30</v>
      </c>
      <c r="D44" s="1" t="s">
        <v>11</v>
      </c>
      <c r="E44" s="1" t="s">
        <v>14</v>
      </c>
      <c r="F44" s="1">
        <v>14300</v>
      </c>
    </row>
    <row r="45" spans="1:6" ht="14.25" customHeight="1" x14ac:dyDescent="0.55000000000000004">
      <c r="A45" s="2">
        <v>44892</v>
      </c>
      <c r="B45" s="1" t="s">
        <v>42</v>
      </c>
      <c r="C45" s="1" t="s">
        <v>16</v>
      </c>
      <c r="D45" s="1" t="s">
        <v>11</v>
      </c>
      <c r="E45" s="1" t="s">
        <v>8</v>
      </c>
      <c r="F45" s="1">
        <v>11845</v>
      </c>
    </row>
    <row r="46" spans="1:6" ht="14.25" customHeight="1" x14ac:dyDescent="0.55000000000000004">
      <c r="A46" s="2">
        <v>44893</v>
      </c>
      <c r="B46" s="1" t="s">
        <v>17</v>
      </c>
      <c r="C46" s="1" t="s">
        <v>13</v>
      </c>
      <c r="D46" s="1" t="s">
        <v>11</v>
      </c>
      <c r="E46" s="1" t="s">
        <v>14</v>
      </c>
      <c r="F46" s="1">
        <v>8349</v>
      </c>
    </row>
    <row r="47" spans="1:6" ht="14.25" customHeight="1" x14ac:dyDescent="0.55000000000000004">
      <c r="A47" s="2">
        <v>44895</v>
      </c>
      <c r="B47" s="1" t="s">
        <v>43</v>
      </c>
      <c r="C47" s="1" t="s">
        <v>16</v>
      </c>
      <c r="D47" s="1" t="s">
        <v>11</v>
      </c>
      <c r="E47" s="1" t="s">
        <v>8</v>
      </c>
      <c r="F47" s="1">
        <v>18000</v>
      </c>
    </row>
    <row r="48" spans="1:6" ht="14.25" customHeight="1" x14ac:dyDescent="0.55000000000000004">
      <c r="A48" s="2">
        <v>44895</v>
      </c>
      <c r="B48" s="1" t="s">
        <v>44</v>
      </c>
      <c r="C48" s="1" t="s">
        <v>13</v>
      </c>
      <c r="D48" s="1" t="s">
        <v>11</v>
      </c>
      <c r="E48" s="1" t="s">
        <v>8</v>
      </c>
      <c r="F48" s="1">
        <v>11657</v>
      </c>
    </row>
    <row r="49" spans="1:6" ht="14.25" customHeight="1" x14ac:dyDescent="0.55000000000000004">
      <c r="A49" s="2">
        <v>44895</v>
      </c>
      <c r="B49" s="1" t="s">
        <v>36</v>
      </c>
      <c r="C49" s="1" t="s">
        <v>16</v>
      </c>
      <c r="D49" s="1" t="s">
        <v>11</v>
      </c>
      <c r="E49" s="1" t="s">
        <v>14</v>
      </c>
      <c r="F49" s="1">
        <v>1940</v>
      </c>
    </row>
    <row r="50" spans="1:6" ht="14.25" customHeight="1" x14ac:dyDescent="0.55000000000000004">
      <c r="A50" s="2">
        <v>44896</v>
      </c>
      <c r="B50" s="1" t="s">
        <v>6</v>
      </c>
      <c r="C50" s="1" t="s">
        <v>7</v>
      </c>
      <c r="D50" s="1" t="s">
        <v>7</v>
      </c>
      <c r="E50" s="1" t="s">
        <v>8</v>
      </c>
      <c r="F50" s="1">
        <v>400000</v>
      </c>
    </row>
    <row r="51" spans="1:6" ht="14.25" customHeight="1" x14ac:dyDescent="0.55000000000000004">
      <c r="A51" s="2">
        <v>44896</v>
      </c>
      <c r="B51" s="1" t="s">
        <v>45</v>
      </c>
      <c r="C51" s="1" t="s">
        <v>7</v>
      </c>
      <c r="D51" s="1" t="s">
        <v>7</v>
      </c>
      <c r="E51" s="1" t="s">
        <v>8</v>
      </c>
      <c r="F51" s="1">
        <v>150000</v>
      </c>
    </row>
    <row r="52" spans="1:6" ht="14.25" customHeight="1" x14ac:dyDescent="0.55000000000000004">
      <c r="A52" s="2">
        <v>44897</v>
      </c>
      <c r="B52" s="1" t="s">
        <v>46</v>
      </c>
      <c r="C52" s="1" t="s">
        <v>7</v>
      </c>
      <c r="D52" s="1" t="s">
        <v>7</v>
      </c>
      <c r="E52" s="1" t="s">
        <v>8</v>
      </c>
      <c r="F52" s="1">
        <v>95900</v>
      </c>
    </row>
    <row r="53" spans="1:6" ht="14.25" customHeight="1" x14ac:dyDescent="0.55000000000000004">
      <c r="A53" s="2">
        <v>44905</v>
      </c>
      <c r="B53" s="1" t="s">
        <v>47</v>
      </c>
      <c r="C53" s="1" t="s">
        <v>10</v>
      </c>
      <c r="D53" s="1" t="s">
        <v>11</v>
      </c>
      <c r="E53" s="1" t="s">
        <v>14</v>
      </c>
      <c r="F53" s="1">
        <v>10000</v>
      </c>
    </row>
    <row r="54" spans="1:6" ht="14.25" customHeight="1" x14ac:dyDescent="0.55000000000000004">
      <c r="A54" s="2">
        <v>44907</v>
      </c>
      <c r="B54" s="1" t="s">
        <v>48</v>
      </c>
      <c r="C54" s="1" t="s">
        <v>10</v>
      </c>
      <c r="D54" s="1" t="s">
        <v>11</v>
      </c>
      <c r="E54" s="1" t="s">
        <v>8</v>
      </c>
      <c r="F54" s="1">
        <v>5500</v>
      </c>
    </row>
    <row r="55" spans="1:6" ht="14.25" customHeight="1" x14ac:dyDescent="0.55000000000000004">
      <c r="A55" s="2">
        <v>44907</v>
      </c>
      <c r="B55" s="1" t="s">
        <v>49</v>
      </c>
      <c r="C55" s="1" t="s">
        <v>10</v>
      </c>
      <c r="D55" s="1" t="s">
        <v>11</v>
      </c>
      <c r="E55" s="1" t="s">
        <v>8</v>
      </c>
      <c r="F55" s="1">
        <v>15000</v>
      </c>
    </row>
    <row r="56" spans="1:6" ht="14.25" customHeight="1" x14ac:dyDescent="0.55000000000000004">
      <c r="A56" s="2">
        <v>44908</v>
      </c>
      <c r="B56" s="1" t="s">
        <v>50</v>
      </c>
      <c r="C56" s="1" t="s">
        <v>23</v>
      </c>
      <c r="D56" s="1" t="s">
        <v>11</v>
      </c>
      <c r="E56" s="1" t="s">
        <v>8</v>
      </c>
      <c r="F56" s="1">
        <v>32300</v>
      </c>
    </row>
    <row r="57" spans="1:6" ht="14.25" customHeight="1" x14ac:dyDescent="0.55000000000000004">
      <c r="A57" s="2">
        <v>44909</v>
      </c>
      <c r="B57" s="1" t="s">
        <v>51</v>
      </c>
      <c r="C57" s="1" t="s">
        <v>10</v>
      </c>
      <c r="D57" s="1" t="s">
        <v>11</v>
      </c>
      <c r="E57" s="1" t="s">
        <v>14</v>
      </c>
      <c r="F57" s="1">
        <v>35900</v>
      </c>
    </row>
    <row r="58" spans="1:6" ht="14.25" customHeight="1" x14ac:dyDescent="0.55000000000000004">
      <c r="A58" s="2">
        <v>44909</v>
      </c>
      <c r="B58" s="1" t="s">
        <v>29</v>
      </c>
      <c r="C58" s="1" t="s">
        <v>30</v>
      </c>
      <c r="D58" s="1" t="s">
        <v>11</v>
      </c>
      <c r="E58" s="1" t="s">
        <v>8</v>
      </c>
      <c r="F58" s="1">
        <v>38000</v>
      </c>
    </row>
    <row r="59" spans="1:6" ht="14.25" customHeight="1" x14ac:dyDescent="0.55000000000000004">
      <c r="A59" s="2">
        <v>44910</v>
      </c>
      <c r="B59" s="1" t="s">
        <v>35</v>
      </c>
      <c r="C59" s="1" t="s">
        <v>13</v>
      </c>
      <c r="D59" s="1" t="s">
        <v>11</v>
      </c>
      <c r="E59" s="1" t="s">
        <v>14</v>
      </c>
      <c r="F59" s="1">
        <v>6878</v>
      </c>
    </row>
    <row r="60" spans="1:6" ht="14.25" customHeight="1" x14ac:dyDescent="0.55000000000000004">
      <c r="A60" s="2">
        <v>44914</v>
      </c>
      <c r="B60" s="1" t="s">
        <v>35</v>
      </c>
      <c r="C60" s="1" t="s">
        <v>13</v>
      </c>
      <c r="D60" s="1" t="s">
        <v>11</v>
      </c>
      <c r="E60" s="1" t="s">
        <v>14</v>
      </c>
      <c r="F60" s="1">
        <v>5446</v>
      </c>
    </row>
    <row r="61" spans="1:6" ht="14.25" customHeight="1" x14ac:dyDescent="0.55000000000000004">
      <c r="A61" s="2">
        <v>44914</v>
      </c>
      <c r="B61" s="1" t="s">
        <v>24</v>
      </c>
      <c r="C61" s="1" t="s">
        <v>16</v>
      </c>
      <c r="D61" s="1" t="s">
        <v>11</v>
      </c>
      <c r="E61" s="1" t="s">
        <v>8</v>
      </c>
      <c r="F61" s="1">
        <v>9800</v>
      </c>
    </row>
    <row r="62" spans="1:6" ht="14.25" customHeight="1" x14ac:dyDescent="0.55000000000000004">
      <c r="A62" s="2">
        <v>44915</v>
      </c>
      <c r="B62" s="1" t="s">
        <v>35</v>
      </c>
      <c r="C62" s="1" t="s">
        <v>13</v>
      </c>
      <c r="D62" s="1" t="s">
        <v>11</v>
      </c>
      <c r="E62" s="1" t="s">
        <v>14</v>
      </c>
      <c r="F62" s="1">
        <v>7616</v>
      </c>
    </row>
    <row r="63" spans="1:6" ht="14.25" customHeight="1" x14ac:dyDescent="0.55000000000000004">
      <c r="A63" s="2">
        <v>44915</v>
      </c>
      <c r="B63" s="1" t="s">
        <v>26</v>
      </c>
      <c r="C63" s="1" t="s">
        <v>10</v>
      </c>
      <c r="D63" s="1" t="s">
        <v>11</v>
      </c>
      <c r="E63" s="1" t="s">
        <v>14</v>
      </c>
      <c r="F63" s="1">
        <v>4300</v>
      </c>
    </row>
    <row r="64" spans="1:6" ht="14.25" customHeight="1" x14ac:dyDescent="0.55000000000000004">
      <c r="A64" s="2">
        <v>44917</v>
      </c>
      <c r="B64" s="1" t="s">
        <v>52</v>
      </c>
      <c r="C64" s="1" t="s">
        <v>10</v>
      </c>
      <c r="D64" s="1" t="s">
        <v>11</v>
      </c>
      <c r="E64" s="1" t="s">
        <v>14</v>
      </c>
      <c r="F64" s="1">
        <v>5718</v>
      </c>
    </row>
    <row r="65" spans="1:6" ht="14.25" customHeight="1" x14ac:dyDescent="0.55000000000000004">
      <c r="A65" s="2">
        <v>44920</v>
      </c>
      <c r="B65" s="1" t="s">
        <v>31</v>
      </c>
      <c r="C65" s="1" t="s">
        <v>23</v>
      </c>
      <c r="D65" s="1" t="s">
        <v>11</v>
      </c>
      <c r="E65" s="1" t="s">
        <v>8</v>
      </c>
      <c r="F65" s="1">
        <v>50000</v>
      </c>
    </row>
    <row r="66" spans="1:6" ht="14.25" customHeight="1" x14ac:dyDescent="0.55000000000000004">
      <c r="A66" s="2">
        <v>44921</v>
      </c>
      <c r="B66" s="1" t="s">
        <v>32</v>
      </c>
      <c r="C66" s="1" t="s">
        <v>23</v>
      </c>
      <c r="D66" s="1" t="s">
        <v>11</v>
      </c>
      <c r="E66" s="1" t="s">
        <v>14</v>
      </c>
      <c r="F66" s="1">
        <v>10000</v>
      </c>
    </row>
    <row r="67" spans="1:6" ht="14.25" customHeight="1" x14ac:dyDescent="0.55000000000000004">
      <c r="A67" s="2">
        <v>44921</v>
      </c>
      <c r="B67" s="1" t="s">
        <v>53</v>
      </c>
      <c r="C67" s="1" t="s">
        <v>13</v>
      </c>
      <c r="D67" s="1" t="s">
        <v>11</v>
      </c>
      <c r="E67" s="1" t="s">
        <v>8</v>
      </c>
      <c r="F67" s="1">
        <v>6383</v>
      </c>
    </row>
    <row r="68" spans="1:6" ht="14.25" customHeight="1" x14ac:dyDescent="0.55000000000000004">
      <c r="A68" s="2">
        <v>44922</v>
      </c>
      <c r="B68" s="1" t="s">
        <v>22</v>
      </c>
      <c r="C68" s="1" t="s">
        <v>23</v>
      </c>
      <c r="D68" s="1" t="s">
        <v>11</v>
      </c>
      <c r="E68" s="1" t="s">
        <v>8</v>
      </c>
      <c r="F68" s="1">
        <v>11670</v>
      </c>
    </row>
    <row r="69" spans="1:6" ht="14.25" customHeight="1" x14ac:dyDescent="0.55000000000000004">
      <c r="A69" s="2">
        <v>44922</v>
      </c>
      <c r="B69" s="1" t="s">
        <v>21</v>
      </c>
      <c r="C69" s="1" t="s">
        <v>13</v>
      </c>
      <c r="D69" s="1" t="s">
        <v>11</v>
      </c>
      <c r="E69" s="1" t="s">
        <v>8</v>
      </c>
      <c r="F69" s="1">
        <v>8108</v>
      </c>
    </row>
    <row r="70" spans="1:6" ht="14.25" customHeight="1" x14ac:dyDescent="0.55000000000000004">
      <c r="A70" s="2">
        <v>44923</v>
      </c>
      <c r="B70" s="1" t="s">
        <v>21</v>
      </c>
      <c r="C70" s="1" t="s">
        <v>13</v>
      </c>
      <c r="D70" s="1" t="s">
        <v>11</v>
      </c>
      <c r="E70" s="1" t="s">
        <v>8</v>
      </c>
      <c r="F70" s="1">
        <v>6675</v>
      </c>
    </row>
    <row r="71" spans="1:6" ht="14.25" customHeight="1" x14ac:dyDescent="0.55000000000000004">
      <c r="A71" s="2">
        <v>44923</v>
      </c>
      <c r="B71" s="1" t="s">
        <v>20</v>
      </c>
      <c r="C71" s="1" t="s">
        <v>10</v>
      </c>
      <c r="D71" s="1" t="s">
        <v>11</v>
      </c>
      <c r="E71" s="1" t="s">
        <v>8</v>
      </c>
      <c r="F71" s="1">
        <v>65900</v>
      </c>
    </row>
    <row r="72" spans="1:6" ht="14.25" customHeight="1" x14ac:dyDescent="0.55000000000000004">
      <c r="A72" s="2">
        <v>44924</v>
      </c>
      <c r="B72" s="1" t="s">
        <v>54</v>
      </c>
      <c r="C72" s="1" t="s">
        <v>23</v>
      </c>
      <c r="D72" s="1" t="s">
        <v>11</v>
      </c>
      <c r="E72" s="1" t="s">
        <v>14</v>
      </c>
      <c r="F72" s="1">
        <v>6189</v>
      </c>
    </row>
    <row r="73" spans="1:6" ht="14.25" customHeight="1" x14ac:dyDescent="0.55000000000000004">
      <c r="A73" s="2">
        <v>44926</v>
      </c>
      <c r="B73" s="1" t="s">
        <v>36</v>
      </c>
      <c r="C73" s="1" t="s">
        <v>16</v>
      </c>
      <c r="D73" s="1" t="s">
        <v>11</v>
      </c>
      <c r="E73" s="1" t="s">
        <v>8</v>
      </c>
      <c r="F73" s="1">
        <v>1940</v>
      </c>
    </row>
    <row r="74" spans="1:6" ht="14.25" customHeight="1" x14ac:dyDescent="0.55000000000000004"/>
    <row r="75" spans="1:6" ht="14.25" customHeight="1" x14ac:dyDescent="0.55000000000000004"/>
    <row r="76" spans="1:6" ht="14.25" customHeight="1" x14ac:dyDescent="0.55000000000000004"/>
    <row r="77" spans="1:6" ht="14.25" customHeight="1" x14ac:dyDescent="0.55000000000000004"/>
    <row r="78" spans="1:6" ht="14.25" customHeight="1" x14ac:dyDescent="0.55000000000000004"/>
    <row r="79" spans="1:6" ht="14.25" customHeight="1" x14ac:dyDescent="0.55000000000000004"/>
    <row r="80" spans="1:6"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autoFilter ref="A1:F73" xr:uid="{00000000-0009-0000-0000-000000000000}"/>
  <dataValidations count="1">
    <dataValidation type="list" allowBlank="1" showErrorMessage="1" sqref="D2:D73" xr:uid="{ACA47544-A746-44DF-9AAC-1F814069F70C}">
      <formula1>"Income,Expenses"</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workbookViewId="0">
      <selection activeCell="F80" sqref="F80"/>
    </sheetView>
  </sheetViews>
  <sheetFormatPr defaultColWidth="14.41796875" defaultRowHeight="15" customHeight="1" x14ac:dyDescent="0.55000000000000004"/>
  <cols>
    <col min="1" max="1" width="10.15625" bestFit="1" customWidth="1"/>
    <col min="2" max="2" width="27.5234375" bestFit="1" customWidth="1"/>
    <col min="3" max="3" width="18.62890625" bestFit="1" customWidth="1"/>
    <col min="4" max="4" width="11.41796875" bestFit="1" customWidth="1"/>
    <col min="5" max="5" width="17.15625" bestFit="1" customWidth="1"/>
    <col min="6" max="6" width="9.47265625" style="5" bestFit="1" customWidth="1"/>
    <col min="7" max="7" width="14" style="5" bestFit="1" customWidth="1"/>
    <col min="8" max="8" width="8.68359375" customWidth="1"/>
    <col min="9" max="9" width="9.89453125" bestFit="1" customWidth="1"/>
    <col min="10" max="10" width="26.578125" bestFit="1" customWidth="1"/>
    <col min="11" max="26" width="8.68359375" customWidth="1"/>
  </cols>
  <sheetData>
    <row r="1" spans="1:10" ht="14.25" customHeight="1" x14ac:dyDescent="0.55000000000000004">
      <c r="A1" s="1" t="s">
        <v>0</v>
      </c>
      <c r="B1" s="1" t="s">
        <v>1</v>
      </c>
      <c r="C1" s="1" t="s">
        <v>2</v>
      </c>
      <c r="D1" s="1" t="s">
        <v>3</v>
      </c>
      <c r="E1" s="1" t="s">
        <v>4</v>
      </c>
      <c r="F1" s="4" t="s">
        <v>5</v>
      </c>
      <c r="G1" s="5" t="s">
        <v>72</v>
      </c>
    </row>
    <row r="2" spans="1:10" ht="14.25" customHeight="1" x14ac:dyDescent="0.55000000000000004">
      <c r="A2" s="2">
        <v>44835</v>
      </c>
      <c r="B2" s="1" t="s">
        <v>6</v>
      </c>
      <c r="C2" s="1" t="s">
        <v>7</v>
      </c>
      <c r="D2" s="1" t="s">
        <v>7</v>
      </c>
      <c r="E2" s="1" t="s">
        <v>8</v>
      </c>
      <c r="F2" s="4">
        <v>400000</v>
      </c>
      <c r="G2" s="5" t="s">
        <v>7</v>
      </c>
    </row>
    <row r="3" spans="1:10" ht="14.25" customHeight="1" x14ac:dyDescent="0.55000000000000004">
      <c r="A3" s="2">
        <v>44835</v>
      </c>
      <c r="B3" s="1" t="s">
        <v>9</v>
      </c>
      <c r="C3" s="1" t="s">
        <v>10</v>
      </c>
      <c r="D3" s="1" t="s">
        <v>11</v>
      </c>
      <c r="E3" s="1" t="s">
        <v>8</v>
      </c>
      <c r="F3" s="4">
        <v>7092</v>
      </c>
      <c r="G3" s="5" t="s">
        <v>89</v>
      </c>
    </row>
    <row r="4" spans="1:10" ht="14.25" customHeight="1" x14ac:dyDescent="0.55000000000000004">
      <c r="A4" s="2">
        <v>44836</v>
      </c>
      <c r="B4" s="1" t="s">
        <v>12</v>
      </c>
      <c r="C4" s="1" t="s">
        <v>13</v>
      </c>
      <c r="D4" s="1" t="s">
        <v>11</v>
      </c>
      <c r="E4" s="1" t="s">
        <v>14</v>
      </c>
      <c r="F4" s="4">
        <v>5403</v>
      </c>
      <c r="G4" s="5" t="s">
        <v>89</v>
      </c>
    </row>
    <row r="5" spans="1:10" ht="14.25" customHeight="1" x14ac:dyDescent="0.55000000000000004">
      <c r="A5" s="2">
        <v>44837</v>
      </c>
      <c r="B5" s="1" t="s">
        <v>15</v>
      </c>
      <c r="C5" s="1" t="s">
        <v>16</v>
      </c>
      <c r="D5" s="1" t="s">
        <v>11</v>
      </c>
      <c r="E5" s="1" t="s">
        <v>14</v>
      </c>
      <c r="F5" s="4">
        <v>60000</v>
      </c>
      <c r="G5" s="5" t="s">
        <v>71</v>
      </c>
      <c r="J5" s="3" t="s">
        <v>55</v>
      </c>
    </row>
    <row r="6" spans="1:10" ht="14.25" customHeight="1" x14ac:dyDescent="0.55000000000000004">
      <c r="A6" s="2">
        <v>44842</v>
      </c>
      <c r="B6" s="1" t="s">
        <v>17</v>
      </c>
      <c r="C6" s="1" t="s">
        <v>13</v>
      </c>
      <c r="D6" s="1" t="s">
        <v>11</v>
      </c>
      <c r="E6" s="1" t="s">
        <v>8</v>
      </c>
      <c r="F6" s="4">
        <v>8844</v>
      </c>
      <c r="G6" s="5" t="s">
        <v>89</v>
      </c>
      <c r="J6" t="s">
        <v>56</v>
      </c>
    </row>
    <row r="7" spans="1:10" ht="14.25" customHeight="1" x14ac:dyDescent="0.55000000000000004">
      <c r="A7" s="2">
        <v>44843</v>
      </c>
      <c r="B7" s="1" t="s">
        <v>18</v>
      </c>
      <c r="C7" s="1" t="s">
        <v>13</v>
      </c>
      <c r="D7" s="1" t="s">
        <v>11</v>
      </c>
      <c r="E7" s="1" t="s">
        <v>8</v>
      </c>
      <c r="F7" s="4">
        <v>7752</v>
      </c>
      <c r="G7" s="5" t="s">
        <v>89</v>
      </c>
      <c r="J7" t="s">
        <v>57</v>
      </c>
    </row>
    <row r="8" spans="1:10" ht="14.25" customHeight="1" x14ac:dyDescent="0.55000000000000004">
      <c r="A8" s="2">
        <v>44843</v>
      </c>
      <c r="B8" s="1" t="s">
        <v>19</v>
      </c>
      <c r="C8" s="1" t="s">
        <v>16</v>
      </c>
      <c r="D8" s="1" t="s">
        <v>11</v>
      </c>
      <c r="E8" s="1" t="s">
        <v>8</v>
      </c>
      <c r="F8" s="4">
        <v>6621</v>
      </c>
      <c r="G8" s="5" t="s">
        <v>89</v>
      </c>
      <c r="J8" t="s">
        <v>58</v>
      </c>
    </row>
    <row r="9" spans="1:10" ht="14.25" customHeight="1" x14ac:dyDescent="0.55000000000000004">
      <c r="A9" s="2">
        <v>44844</v>
      </c>
      <c r="B9" s="1" t="s">
        <v>20</v>
      </c>
      <c r="C9" s="1" t="s">
        <v>10</v>
      </c>
      <c r="D9" s="1" t="s">
        <v>11</v>
      </c>
      <c r="E9" s="1" t="s">
        <v>14</v>
      </c>
      <c r="F9" s="4">
        <v>5347</v>
      </c>
      <c r="G9" s="5" t="s">
        <v>89</v>
      </c>
      <c r="J9" t="s">
        <v>59</v>
      </c>
    </row>
    <row r="10" spans="1:10" ht="14.25" customHeight="1" x14ac:dyDescent="0.55000000000000004">
      <c r="A10" s="2">
        <v>44845</v>
      </c>
      <c r="B10" s="1" t="s">
        <v>21</v>
      </c>
      <c r="C10" s="1" t="s">
        <v>13</v>
      </c>
      <c r="D10" s="1" t="s">
        <v>11</v>
      </c>
      <c r="E10" s="1" t="s">
        <v>14</v>
      </c>
      <c r="F10" s="4">
        <v>5366</v>
      </c>
      <c r="G10" s="5" t="s">
        <v>89</v>
      </c>
    </row>
    <row r="11" spans="1:10" ht="14.25" customHeight="1" x14ac:dyDescent="0.55000000000000004">
      <c r="A11" s="2">
        <v>44850</v>
      </c>
      <c r="B11" s="1" t="s">
        <v>22</v>
      </c>
      <c r="C11" s="1" t="s">
        <v>23</v>
      </c>
      <c r="D11" s="1" t="s">
        <v>11</v>
      </c>
      <c r="E11" s="1" t="s">
        <v>8</v>
      </c>
      <c r="F11" s="4">
        <v>7449</v>
      </c>
      <c r="G11" s="5" t="s">
        <v>89</v>
      </c>
    </row>
    <row r="12" spans="1:10" ht="14.25" customHeight="1" x14ac:dyDescent="0.55000000000000004">
      <c r="A12" s="2">
        <v>44853</v>
      </c>
      <c r="B12" s="1" t="s">
        <v>24</v>
      </c>
      <c r="C12" s="1" t="s">
        <v>16</v>
      </c>
      <c r="D12" s="1" t="s">
        <v>11</v>
      </c>
      <c r="E12" s="1" t="s">
        <v>14</v>
      </c>
      <c r="F12" s="4">
        <v>9800</v>
      </c>
      <c r="G12" s="5" t="s">
        <v>71</v>
      </c>
    </row>
    <row r="13" spans="1:10" ht="14.25" customHeight="1" x14ac:dyDescent="0.55000000000000004">
      <c r="A13" s="2">
        <v>44853</v>
      </c>
      <c r="B13" s="1" t="s">
        <v>25</v>
      </c>
      <c r="C13" s="1" t="s">
        <v>13</v>
      </c>
      <c r="D13" s="1" t="s">
        <v>11</v>
      </c>
      <c r="E13" s="1" t="s">
        <v>14</v>
      </c>
      <c r="F13" s="4">
        <v>8492</v>
      </c>
      <c r="G13" s="5" t="s">
        <v>89</v>
      </c>
    </row>
    <row r="14" spans="1:10" ht="14.25" customHeight="1" x14ac:dyDescent="0.55000000000000004">
      <c r="A14" s="2">
        <v>44854</v>
      </c>
      <c r="B14" s="1" t="s">
        <v>26</v>
      </c>
      <c r="C14" s="1" t="s">
        <v>10</v>
      </c>
      <c r="D14" s="1" t="s">
        <v>11</v>
      </c>
      <c r="E14" s="1" t="s">
        <v>8</v>
      </c>
      <c r="F14" s="4">
        <v>4300</v>
      </c>
      <c r="G14" s="5" t="s">
        <v>71</v>
      </c>
    </row>
    <row r="15" spans="1:10" ht="14.25" customHeight="1" x14ac:dyDescent="0.55000000000000004">
      <c r="A15" s="2">
        <v>44858</v>
      </c>
      <c r="B15" s="1" t="s">
        <v>27</v>
      </c>
      <c r="C15" s="1" t="s">
        <v>13</v>
      </c>
      <c r="D15" s="1" t="s">
        <v>11</v>
      </c>
      <c r="E15" s="1" t="s">
        <v>14</v>
      </c>
      <c r="F15" s="4">
        <v>8647</v>
      </c>
      <c r="G15" s="5" t="s">
        <v>89</v>
      </c>
    </row>
    <row r="16" spans="1:10" ht="14.25" customHeight="1" x14ac:dyDescent="0.55000000000000004">
      <c r="A16" s="2">
        <v>44858</v>
      </c>
      <c r="B16" s="1" t="s">
        <v>22</v>
      </c>
      <c r="C16" s="1" t="s">
        <v>23</v>
      </c>
      <c r="D16" s="1" t="s">
        <v>11</v>
      </c>
      <c r="E16" s="1" t="s">
        <v>14</v>
      </c>
      <c r="F16" s="4">
        <v>6714</v>
      </c>
      <c r="G16" s="5" t="s">
        <v>89</v>
      </c>
    </row>
    <row r="17" spans="1:7" ht="14.25" customHeight="1" x14ac:dyDescent="0.55000000000000004">
      <c r="A17" s="2">
        <v>44858</v>
      </c>
      <c r="B17" s="1" t="s">
        <v>28</v>
      </c>
      <c r="C17" s="1" t="s">
        <v>10</v>
      </c>
      <c r="D17" s="1" t="s">
        <v>11</v>
      </c>
      <c r="E17" s="1" t="s">
        <v>8</v>
      </c>
      <c r="F17" s="4">
        <v>5079</v>
      </c>
      <c r="G17" s="5" t="s">
        <v>89</v>
      </c>
    </row>
    <row r="18" spans="1:7" ht="14.25" customHeight="1" x14ac:dyDescent="0.55000000000000004">
      <c r="A18" s="2">
        <v>44859</v>
      </c>
      <c r="B18" s="1" t="s">
        <v>29</v>
      </c>
      <c r="C18" s="1" t="s">
        <v>30</v>
      </c>
      <c r="D18" s="1" t="s">
        <v>11</v>
      </c>
      <c r="E18" s="1" t="s">
        <v>14</v>
      </c>
      <c r="F18" s="4">
        <v>17600</v>
      </c>
      <c r="G18" s="5" t="s">
        <v>89</v>
      </c>
    </row>
    <row r="19" spans="1:7" ht="14.25" customHeight="1" x14ac:dyDescent="0.55000000000000004">
      <c r="A19" s="2">
        <v>44859</v>
      </c>
      <c r="B19" s="1" t="s">
        <v>31</v>
      </c>
      <c r="C19" s="1" t="s">
        <v>23</v>
      </c>
      <c r="D19" s="1" t="s">
        <v>11</v>
      </c>
      <c r="E19" s="1" t="s">
        <v>14</v>
      </c>
      <c r="F19" s="4">
        <v>50000</v>
      </c>
      <c r="G19" s="5" t="s">
        <v>71</v>
      </c>
    </row>
    <row r="20" spans="1:7" ht="14.25" customHeight="1" x14ac:dyDescent="0.55000000000000004">
      <c r="A20" s="2">
        <v>44860</v>
      </c>
      <c r="B20" s="1" t="s">
        <v>32</v>
      </c>
      <c r="C20" s="1" t="s">
        <v>23</v>
      </c>
      <c r="D20" s="1" t="s">
        <v>11</v>
      </c>
      <c r="E20" s="1" t="s">
        <v>8</v>
      </c>
      <c r="F20" s="4">
        <v>10000</v>
      </c>
      <c r="G20" s="5" t="s">
        <v>71</v>
      </c>
    </row>
    <row r="21" spans="1:7" ht="14.25" customHeight="1" x14ac:dyDescent="0.55000000000000004">
      <c r="A21" s="2">
        <v>44860</v>
      </c>
      <c r="B21" s="1" t="s">
        <v>33</v>
      </c>
      <c r="C21" s="1" t="s">
        <v>13</v>
      </c>
      <c r="D21" s="1" t="s">
        <v>11</v>
      </c>
      <c r="E21" s="1" t="s">
        <v>14</v>
      </c>
      <c r="F21" s="4">
        <v>8963</v>
      </c>
      <c r="G21" s="5" t="s">
        <v>89</v>
      </c>
    </row>
    <row r="22" spans="1:7" ht="14.25" customHeight="1" x14ac:dyDescent="0.55000000000000004">
      <c r="A22" s="2">
        <v>44861</v>
      </c>
      <c r="B22" s="1" t="s">
        <v>34</v>
      </c>
      <c r="C22" s="1" t="s">
        <v>10</v>
      </c>
      <c r="D22" s="1" t="s">
        <v>11</v>
      </c>
      <c r="E22" s="1" t="s">
        <v>8</v>
      </c>
      <c r="F22" s="4">
        <v>6509</v>
      </c>
      <c r="G22" s="5" t="s">
        <v>89</v>
      </c>
    </row>
    <row r="23" spans="1:7" ht="14.25" customHeight="1" x14ac:dyDescent="0.55000000000000004">
      <c r="A23" s="2">
        <v>44862</v>
      </c>
      <c r="B23" s="1" t="s">
        <v>35</v>
      </c>
      <c r="C23" s="1" t="s">
        <v>13</v>
      </c>
      <c r="D23" s="1" t="s">
        <v>11</v>
      </c>
      <c r="E23" s="1" t="s">
        <v>8</v>
      </c>
      <c r="F23" s="4">
        <v>6641</v>
      </c>
      <c r="G23" s="5" t="s">
        <v>89</v>
      </c>
    </row>
    <row r="24" spans="1:7" ht="14.25" customHeight="1" x14ac:dyDescent="0.55000000000000004">
      <c r="A24" s="2">
        <v>44864</v>
      </c>
      <c r="B24" s="1" t="s">
        <v>36</v>
      </c>
      <c r="C24" s="1" t="s">
        <v>16</v>
      </c>
      <c r="D24" s="1" t="s">
        <v>11</v>
      </c>
      <c r="E24" s="1" t="s">
        <v>8</v>
      </c>
      <c r="F24" s="4">
        <v>1940</v>
      </c>
      <c r="G24" s="5" t="s">
        <v>71</v>
      </c>
    </row>
    <row r="25" spans="1:7" ht="14.25" customHeight="1" x14ac:dyDescent="0.55000000000000004">
      <c r="A25" s="2">
        <v>44866</v>
      </c>
      <c r="B25" s="1" t="s">
        <v>6</v>
      </c>
      <c r="C25" s="1" t="s">
        <v>7</v>
      </c>
      <c r="D25" s="1" t="s">
        <v>7</v>
      </c>
      <c r="E25" s="1" t="s">
        <v>8</v>
      </c>
      <c r="F25" s="4">
        <v>400000</v>
      </c>
      <c r="G25" s="5" t="s">
        <v>7</v>
      </c>
    </row>
    <row r="26" spans="1:7" ht="14.25" customHeight="1" x14ac:dyDescent="0.55000000000000004">
      <c r="A26" s="2">
        <v>44869</v>
      </c>
      <c r="B26" s="1" t="s">
        <v>21</v>
      </c>
      <c r="C26" s="1" t="s">
        <v>13</v>
      </c>
      <c r="D26" s="1" t="s">
        <v>11</v>
      </c>
      <c r="E26" s="1" t="s">
        <v>14</v>
      </c>
      <c r="F26" s="4">
        <v>5950</v>
      </c>
      <c r="G26" s="5" t="s">
        <v>89</v>
      </c>
    </row>
    <row r="27" spans="1:7" ht="14.25" customHeight="1" x14ac:dyDescent="0.55000000000000004">
      <c r="A27" s="2">
        <v>44872</v>
      </c>
      <c r="B27" s="1" t="s">
        <v>37</v>
      </c>
      <c r="C27" s="1" t="s">
        <v>13</v>
      </c>
      <c r="D27" s="1" t="s">
        <v>11</v>
      </c>
      <c r="E27" s="1" t="s">
        <v>14</v>
      </c>
      <c r="F27" s="4">
        <v>7957</v>
      </c>
      <c r="G27" s="5" t="s">
        <v>89</v>
      </c>
    </row>
    <row r="28" spans="1:7" ht="14.25" customHeight="1" x14ac:dyDescent="0.55000000000000004">
      <c r="A28" s="2">
        <v>44874</v>
      </c>
      <c r="B28" s="1" t="s">
        <v>35</v>
      </c>
      <c r="C28" s="1" t="s">
        <v>13</v>
      </c>
      <c r="D28" s="1" t="s">
        <v>11</v>
      </c>
      <c r="E28" s="1" t="s">
        <v>14</v>
      </c>
      <c r="F28" s="4">
        <v>8782</v>
      </c>
      <c r="G28" s="5" t="s">
        <v>89</v>
      </c>
    </row>
    <row r="29" spans="1:7" ht="14.25" customHeight="1" x14ac:dyDescent="0.55000000000000004">
      <c r="A29" s="2">
        <v>44875</v>
      </c>
      <c r="B29" s="1" t="s">
        <v>38</v>
      </c>
      <c r="C29" s="1" t="s">
        <v>23</v>
      </c>
      <c r="D29" s="1" t="s">
        <v>11</v>
      </c>
      <c r="E29" s="1" t="s">
        <v>14</v>
      </c>
      <c r="F29" s="4">
        <v>9642</v>
      </c>
      <c r="G29" s="5" t="s">
        <v>89</v>
      </c>
    </row>
    <row r="30" spans="1:7" ht="14.25" customHeight="1" x14ac:dyDescent="0.55000000000000004">
      <c r="A30" s="2">
        <v>44876</v>
      </c>
      <c r="B30" s="1" t="s">
        <v>35</v>
      </c>
      <c r="C30" s="1" t="s">
        <v>13</v>
      </c>
      <c r="D30" s="1" t="s">
        <v>11</v>
      </c>
      <c r="E30" s="1" t="s">
        <v>14</v>
      </c>
      <c r="F30" s="4">
        <v>12109</v>
      </c>
      <c r="G30" s="5" t="s">
        <v>89</v>
      </c>
    </row>
    <row r="31" spans="1:7" ht="14.25" customHeight="1" x14ac:dyDescent="0.55000000000000004">
      <c r="A31" s="2">
        <v>44878</v>
      </c>
      <c r="B31" s="1" t="s">
        <v>39</v>
      </c>
      <c r="C31" s="1" t="s">
        <v>10</v>
      </c>
      <c r="D31" s="1" t="s">
        <v>11</v>
      </c>
      <c r="E31" s="1" t="s">
        <v>8</v>
      </c>
      <c r="F31" s="4">
        <v>7149</v>
      </c>
      <c r="G31" s="5" t="s">
        <v>89</v>
      </c>
    </row>
    <row r="32" spans="1:7" ht="14.25" customHeight="1" x14ac:dyDescent="0.55000000000000004">
      <c r="A32" s="2">
        <v>44878</v>
      </c>
      <c r="B32" s="1" t="s">
        <v>22</v>
      </c>
      <c r="C32" s="1" t="s">
        <v>23</v>
      </c>
      <c r="D32" s="1" t="s">
        <v>11</v>
      </c>
      <c r="E32" s="1" t="s">
        <v>8</v>
      </c>
      <c r="F32" s="4">
        <v>6392</v>
      </c>
      <c r="G32" s="5" t="s">
        <v>89</v>
      </c>
    </row>
    <row r="33" spans="1:7" ht="14.25" customHeight="1" x14ac:dyDescent="0.55000000000000004">
      <c r="A33" s="2">
        <v>44881</v>
      </c>
      <c r="B33" s="1" t="s">
        <v>22</v>
      </c>
      <c r="C33" s="1" t="s">
        <v>23</v>
      </c>
      <c r="D33" s="1" t="s">
        <v>11</v>
      </c>
      <c r="E33" s="1" t="s">
        <v>14</v>
      </c>
      <c r="F33" s="4">
        <v>5014</v>
      </c>
      <c r="G33" s="5" t="s">
        <v>89</v>
      </c>
    </row>
    <row r="34" spans="1:7" ht="14.25" customHeight="1" x14ac:dyDescent="0.55000000000000004">
      <c r="A34" s="2">
        <v>44882</v>
      </c>
      <c r="B34" s="1" t="s">
        <v>35</v>
      </c>
      <c r="C34" s="1" t="s">
        <v>13</v>
      </c>
      <c r="D34" s="1" t="s">
        <v>11</v>
      </c>
      <c r="E34" s="1" t="s">
        <v>8</v>
      </c>
      <c r="F34" s="4">
        <v>8691</v>
      </c>
      <c r="G34" s="5" t="s">
        <v>89</v>
      </c>
    </row>
    <row r="35" spans="1:7" ht="14.25" customHeight="1" x14ac:dyDescent="0.55000000000000004">
      <c r="A35" s="2">
        <v>44882</v>
      </c>
      <c r="B35" s="1" t="s">
        <v>40</v>
      </c>
      <c r="C35" s="1" t="s">
        <v>16</v>
      </c>
      <c r="D35" s="1" t="s">
        <v>11</v>
      </c>
      <c r="E35" s="1" t="s">
        <v>14</v>
      </c>
      <c r="F35" s="4">
        <v>6026</v>
      </c>
      <c r="G35" s="5" t="s">
        <v>71</v>
      </c>
    </row>
    <row r="36" spans="1:7" ht="14.25" customHeight="1" x14ac:dyDescent="0.55000000000000004">
      <c r="A36" s="2">
        <v>44884</v>
      </c>
      <c r="B36" s="1" t="s">
        <v>24</v>
      </c>
      <c r="C36" s="1" t="s">
        <v>16</v>
      </c>
      <c r="D36" s="1" t="s">
        <v>11</v>
      </c>
      <c r="E36" s="1" t="s">
        <v>8</v>
      </c>
      <c r="F36" s="4">
        <v>9800</v>
      </c>
      <c r="G36" s="5" t="s">
        <v>71</v>
      </c>
    </row>
    <row r="37" spans="1:7" ht="14.25" customHeight="1" x14ac:dyDescent="0.55000000000000004">
      <c r="A37" s="2">
        <v>44885</v>
      </c>
      <c r="B37" s="1" t="s">
        <v>35</v>
      </c>
      <c r="C37" s="1" t="s">
        <v>13</v>
      </c>
      <c r="D37" s="1" t="s">
        <v>11</v>
      </c>
      <c r="E37" s="1" t="s">
        <v>14</v>
      </c>
      <c r="F37" s="4">
        <v>10854</v>
      </c>
      <c r="G37" s="5" t="s">
        <v>89</v>
      </c>
    </row>
    <row r="38" spans="1:7" ht="14.25" customHeight="1" x14ac:dyDescent="0.55000000000000004">
      <c r="A38" s="2">
        <v>44885</v>
      </c>
      <c r="B38" s="1" t="s">
        <v>21</v>
      </c>
      <c r="C38" s="1" t="s">
        <v>13</v>
      </c>
      <c r="D38" s="1" t="s">
        <v>11</v>
      </c>
      <c r="E38" s="1" t="s">
        <v>8</v>
      </c>
      <c r="F38" s="4">
        <v>12734</v>
      </c>
      <c r="G38" s="5" t="s">
        <v>89</v>
      </c>
    </row>
    <row r="39" spans="1:7" ht="14.25" customHeight="1" x14ac:dyDescent="0.55000000000000004">
      <c r="A39" s="2">
        <v>44885</v>
      </c>
      <c r="B39" s="1" t="s">
        <v>35</v>
      </c>
      <c r="C39" s="1" t="s">
        <v>13</v>
      </c>
      <c r="D39" s="1" t="s">
        <v>11</v>
      </c>
      <c r="E39" s="1" t="s">
        <v>8</v>
      </c>
      <c r="F39" s="4">
        <v>10900</v>
      </c>
      <c r="G39" s="5" t="s">
        <v>89</v>
      </c>
    </row>
    <row r="40" spans="1:7" ht="14.25" customHeight="1" x14ac:dyDescent="0.55000000000000004">
      <c r="A40" s="2">
        <v>44888</v>
      </c>
      <c r="B40" s="1" t="s">
        <v>21</v>
      </c>
      <c r="C40" s="1" t="s">
        <v>13</v>
      </c>
      <c r="D40" s="1" t="s">
        <v>11</v>
      </c>
      <c r="E40" s="1" t="s">
        <v>8</v>
      </c>
      <c r="F40" s="4">
        <v>8713</v>
      </c>
      <c r="G40" s="5" t="s">
        <v>89</v>
      </c>
    </row>
    <row r="41" spans="1:7" ht="14.25" customHeight="1" x14ac:dyDescent="0.55000000000000004">
      <c r="A41" s="2">
        <v>44889</v>
      </c>
      <c r="B41" s="1" t="s">
        <v>26</v>
      </c>
      <c r="C41" s="1" t="s">
        <v>10</v>
      </c>
      <c r="D41" s="1" t="s">
        <v>11</v>
      </c>
      <c r="E41" s="1" t="s">
        <v>8</v>
      </c>
      <c r="F41" s="4">
        <v>4300</v>
      </c>
      <c r="G41" s="5" t="s">
        <v>71</v>
      </c>
    </row>
    <row r="42" spans="1:7" ht="14.25" customHeight="1" x14ac:dyDescent="0.55000000000000004">
      <c r="A42" s="2">
        <v>44890</v>
      </c>
      <c r="B42" s="1" t="s">
        <v>31</v>
      </c>
      <c r="C42" s="1" t="s">
        <v>23</v>
      </c>
      <c r="D42" s="1" t="s">
        <v>11</v>
      </c>
      <c r="E42" s="1" t="s">
        <v>8</v>
      </c>
      <c r="F42" s="4">
        <v>50000</v>
      </c>
      <c r="G42" s="5" t="s">
        <v>71</v>
      </c>
    </row>
    <row r="43" spans="1:7" ht="14.25" customHeight="1" x14ac:dyDescent="0.55000000000000004">
      <c r="A43" s="2">
        <v>44891</v>
      </c>
      <c r="B43" s="1" t="s">
        <v>32</v>
      </c>
      <c r="C43" s="1" t="s">
        <v>23</v>
      </c>
      <c r="D43" s="1" t="s">
        <v>11</v>
      </c>
      <c r="E43" s="1" t="s">
        <v>14</v>
      </c>
      <c r="F43" s="4">
        <v>10000</v>
      </c>
      <c r="G43" s="5" t="s">
        <v>71</v>
      </c>
    </row>
    <row r="44" spans="1:7" ht="14.25" customHeight="1" x14ac:dyDescent="0.55000000000000004">
      <c r="A44" s="2">
        <v>44892</v>
      </c>
      <c r="B44" s="1" t="s">
        <v>41</v>
      </c>
      <c r="C44" s="1" t="s">
        <v>30</v>
      </c>
      <c r="D44" s="1" t="s">
        <v>11</v>
      </c>
      <c r="E44" s="1" t="s">
        <v>14</v>
      </c>
      <c r="F44" s="4">
        <v>14300</v>
      </c>
      <c r="G44" s="5" t="s">
        <v>89</v>
      </c>
    </row>
    <row r="45" spans="1:7" ht="14.25" customHeight="1" x14ac:dyDescent="0.55000000000000004">
      <c r="A45" s="2">
        <v>44892</v>
      </c>
      <c r="B45" s="1" t="s">
        <v>42</v>
      </c>
      <c r="C45" s="1" t="s">
        <v>16</v>
      </c>
      <c r="D45" s="1" t="s">
        <v>11</v>
      </c>
      <c r="E45" s="1" t="s">
        <v>8</v>
      </c>
      <c r="F45" s="4">
        <v>11845</v>
      </c>
      <c r="G45" s="5" t="s">
        <v>71</v>
      </c>
    </row>
    <row r="46" spans="1:7" ht="14.25" customHeight="1" x14ac:dyDescent="0.55000000000000004">
      <c r="A46" s="2">
        <v>44893</v>
      </c>
      <c r="B46" s="1" t="s">
        <v>17</v>
      </c>
      <c r="C46" s="1" t="s">
        <v>13</v>
      </c>
      <c r="D46" s="1" t="s">
        <v>11</v>
      </c>
      <c r="E46" s="1" t="s">
        <v>14</v>
      </c>
      <c r="F46" s="4">
        <v>8349</v>
      </c>
      <c r="G46" s="5" t="s">
        <v>89</v>
      </c>
    </row>
    <row r="47" spans="1:7" ht="14.25" customHeight="1" x14ac:dyDescent="0.55000000000000004">
      <c r="A47" s="2">
        <v>44895</v>
      </c>
      <c r="B47" s="1" t="s">
        <v>43</v>
      </c>
      <c r="C47" s="1" t="s">
        <v>16</v>
      </c>
      <c r="D47" s="1" t="s">
        <v>11</v>
      </c>
      <c r="E47" s="1" t="s">
        <v>8</v>
      </c>
      <c r="F47" s="4">
        <v>18000</v>
      </c>
      <c r="G47" s="5" t="s">
        <v>89</v>
      </c>
    </row>
    <row r="48" spans="1:7" ht="14.25" customHeight="1" x14ac:dyDescent="0.55000000000000004">
      <c r="A48" s="2">
        <v>44895</v>
      </c>
      <c r="B48" s="1" t="s">
        <v>44</v>
      </c>
      <c r="C48" s="1" t="s">
        <v>13</v>
      </c>
      <c r="D48" s="1" t="s">
        <v>11</v>
      </c>
      <c r="E48" s="1" t="s">
        <v>8</v>
      </c>
      <c r="F48" s="4">
        <v>11657</v>
      </c>
      <c r="G48" s="5" t="s">
        <v>89</v>
      </c>
    </row>
    <row r="49" spans="1:7" ht="14.25" customHeight="1" x14ac:dyDescent="0.55000000000000004">
      <c r="A49" s="2">
        <v>44895</v>
      </c>
      <c r="B49" s="1" t="s">
        <v>36</v>
      </c>
      <c r="C49" s="1" t="s">
        <v>16</v>
      </c>
      <c r="D49" s="1" t="s">
        <v>11</v>
      </c>
      <c r="E49" s="1" t="s">
        <v>14</v>
      </c>
      <c r="F49" s="4">
        <v>1940</v>
      </c>
      <c r="G49" s="5" t="s">
        <v>71</v>
      </c>
    </row>
    <row r="50" spans="1:7" ht="14.25" customHeight="1" x14ac:dyDescent="0.55000000000000004">
      <c r="A50" s="2">
        <v>44896</v>
      </c>
      <c r="B50" s="1" t="s">
        <v>6</v>
      </c>
      <c r="C50" s="1" t="s">
        <v>7</v>
      </c>
      <c r="D50" s="1" t="s">
        <v>7</v>
      </c>
      <c r="E50" s="1" t="s">
        <v>8</v>
      </c>
      <c r="F50" s="4">
        <v>400000</v>
      </c>
      <c r="G50" s="5" t="s">
        <v>73</v>
      </c>
    </row>
    <row r="51" spans="1:7" ht="14.25" customHeight="1" x14ac:dyDescent="0.55000000000000004">
      <c r="A51" s="2">
        <v>44896</v>
      </c>
      <c r="B51" s="1" t="s">
        <v>45</v>
      </c>
      <c r="C51" s="1" t="s">
        <v>7</v>
      </c>
      <c r="D51" s="1" t="s">
        <v>7</v>
      </c>
      <c r="E51" s="1" t="s">
        <v>8</v>
      </c>
      <c r="F51" s="4">
        <v>150000</v>
      </c>
      <c r="G51" s="5" t="s">
        <v>7</v>
      </c>
    </row>
    <row r="52" spans="1:7" ht="14.25" customHeight="1" x14ac:dyDescent="0.55000000000000004">
      <c r="A52" s="2">
        <v>44897</v>
      </c>
      <c r="B52" s="1" t="s">
        <v>46</v>
      </c>
      <c r="C52" s="1" t="s">
        <v>7</v>
      </c>
      <c r="D52" s="1" t="s">
        <v>7</v>
      </c>
      <c r="E52" s="1" t="s">
        <v>8</v>
      </c>
      <c r="F52" s="4">
        <v>95900</v>
      </c>
      <c r="G52" s="5" t="s">
        <v>73</v>
      </c>
    </row>
    <row r="53" spans="1:7" ht="14.25" customHeight="1" x14ac:dyDescent="0.55000000000000004">
      <c r="A53" s="2">
        <v>44905</v>
      </c>
      <c r="B53" s="1" t="s">
        <v>47</v>
      </c>
      <c r="C53" s="1" t="s">
        <v>10</v>
      </c>
      <c r="D53" s="1" t="s">
        <v>11</v>
      </c>
      <c r="E53" s="1" t="s">
        <v>14</v>
      </c>
      <c r="F53" s="4">
        <v>10000</v>
      </c>
      <c r="G53" s="5" t="s">
        <v>89</v>
      </c>
    </row>
    <row r="54" spans="1:7" ht="14.25" customHeight="1" x14ac:dyDescent="0.55000000000000004">
      <c r="A54" s="2">
        <v>44907</v>
      </c>
      <c r="B54" s="1" t="s">
        <v>48</v>
      </c>
      <c r="C54" s="1" t="s">
        <v>10</v>
      </c>
      <c r="D54" s="1" t="s">
        <v>11</v>
      </c>
      <c r="E54" s="1" t="s">
        <v>8</v>
      </c>
      <c r="F54" s="4">
        <v>5500</v>
      </c>
      <c r="G54" s="5" t="s">
        <v>71</v>
      </c>
    </row>
    <row r="55" spans="1:7" ht="14.25" customHeight="1" x14ac:dyDescent="0.55000000000000004">
      <c r="A55" s="2">
        <v>44907</v>
      </c>
      <c r="B55" s="1" t="s">
        <v>49</v>
      </c>
      <c r="C55" s="1" t="s">
        <v>10</v>
      </c>
      <c r="D55" s="1" t="s">
        <v>11</v>
      </c>
      <c r="E55" s="1" t="s">
        <v>8</v>
      </c>
      <c r="F55" s="4">
        <v>15000</v>
      </c>
      <c r="G55" s="5" t="s">
        <v>89</v>
      </c>
    </row>
    <row r="56" spans="1:7" ht="14.25" customHeight="1" x14ac:dyDescent="0.55000000000000004">
      <c r="A56" s="2">
        <v>44908</v>
      </c>
      <c r="B56" s="1" t="s">
        <v>50</v>
      </c>
      <c r="C56" s="1" t="s">
        <v>23</v>
      </c>
      <c r="D56" s="1" t="s">
        <v>11</v>
      </c>
      <c r="E56" s="1" t="s">
        <v>8</v>
      </c>
      <c r="F56" s="4">
        <v>32300</v>
      </c>
      <c r="G56" s="5" t="s">
        <v>89</v>
      </c>
    </row>
    <row r="57" spans="1:7" ht="14.25" customHeight="1" x14ac:dyDescent="0.55000000000000004">
      <c r="A57" s="2">
        <v>44909</v>
      </c>
      <c r="B57" s="1" t="s">
        <v>51</v>
      </c>
      <c r="C57" s="1" t="s">
        <v>10</v>
      </c>
      <c r="D57" s="1" t="s">
        <v>11</v>
      </c>
      <c r="E57" s="1" t="s">
        <v>14</v>
      </c>
      <c r="F57" s="4">
        <v>35900</v>
      </c>
      <c r="G57" s="5" t="s">
        <v>89</v>
      </c>
    </row>
    <row r="58" spans="1:7" ht="14.25" customHeight="1" x14ac:dyDescent="0.55000000000000004">
      <c r="A58" s="2">
        <v>44909</v>
      </c>
      <c r="B58" s="1" t="s">
        <v>29</v>
      </c>
      <c r="C58" s="1" t="s">
        <v>30</v>
      </c>
      <c r="D58" s="1" t="s">
        <v>11</v>
      </c>
      <c r="E58" s="1" t="s">
        <v>8</v>
      </c>
      <c r="F58" s="4">
        <v>38000</v>
      </c>
      <c r="G58" s="5" t="s">
        <v>89</v>
      </c>
    </row>
    <row r="59" spans="1:7" ht="14.25" customHeight="1" x14ac:dyDescent="0.55000000000000004">
      <c r="A59" s="2">
        <v>44910</v>
      </c>
      <c r="B59" s="1" t="s">
        <v>35</v>
      </c>
      <c r="C59" s="1" t="s">
        <v>13</v>
      </c>
      <c r="D59" s="1" t="s">
        <v>11</v>
      </c>
      <c r="E59" s="1" t="s">
        <v>14</v>
      </c>
      <c r="F59" s="4">
        <v>6878</v>
      </c>
      <c r="G59" s="5" t="s">
        <v>89</v>
      </c>
    </row>
    <row r="60" spans="1:7" ht="14.25" customHeight="1" x14ac:dyDescent="0.55000000000000004">
      <c r="A60" s="2">
        <v>44914</v>
      </c>
      <c r="B60" s="1" t="s">
        <v>35</v>
      </c>
      <c r="C60" s="1" t="s">
        <v>13</v>
      </c>
      <c r="D60" s="1" t="s">
        <v>11</v>
      </c>
      <c r="E60" s="1" t="s">
        <v>14</v>
      </c>
      <c r="F60" s="4">
        <v>5446</v>
      </c>
      <c r="G60" s="5" t="s">
        <v>89</v>
      </c>
    </row>
    <row r="61" spans="1:7" ht="14.25" customHeight="1" x14ac:dyDescent="0.55000000000000004">
      <c r="A61" s="2">
        <v>44914</v>
      </c>
      <c r="B61" s="1" t="s">
        <v>24</v>
      </c>
      <c r="C61" s="1" t="s">
        <v>16</v>
      </c>
      <c r="D61" s="1" t="s">
        <v>11</v>
      </c>
      <c r="E61" s="1" t="s">
        <v>8</v>
      </c>
      <c r="F61" s="4">
        <v>9800</v>
      </c>
      <c r="G61" s="5" t="s">
        <v>71</v>
      </c>
    </row>
    <row r="62" spans="1:7" ht="14.25" customHeight="1" x14ac:dyDescent="0.55000000000000004">
      <c r="A62" s="2">
        <v>44915</v>
      </c>
      <c r="B62" s="1" t="s">
        <v>35</v>
      </c>
      <c r="C62" s="1" t="s">
        <v>13</v>
      </c>
      <c r="D62" s="1" t="s">
        <v>11</v>
      </c>
      <c r="E62" s="1" t="s">
        <v>14</v>
      </c>
      <c r="F62" s="4">
        <v>7616</v>
      </c>
      <c r="G62" s="5" t="s">
        <v>89</v>
      </c>
    </row>
    <row r="63" spans="1:7" ht="14.25" customHeight="1" x14ac:dyDescent="0.55000000000000004">
      <c r="A63" s="2">
        <v>44915</v>
      </c>
      <c r="B63" s="1" t="s">
        <v>26</v>
      </c>
      <c r="C63" s="1" t="s">
        <v>10</v>
      </c>
      <c r="D63" s="1" t="s">
        <v>11</v>
      </c>
      <c r="E63" s="1" t="s">
        <v>14</v>
      </c>
      <c r="F63" s="4">
        <v>4300</v>
      </c>
      <c r="G63" s="5" t="s">
        <v>71</v>
      </c>
    </row>
    <row r="64" spans="1:7" ht="14.25" customHeight="1" x14ac:dyDescent="0.55000000000000004">
      <c r="A64" s="2">
        <v>44917</v>
      </c>
      <c r="B64" s="1" t="s">
        <v>52</v>
      </c>
      <c r="C64" s="1" t="s">
        <v>10</v>
      </c>
      <c r="D64" s="1" t="s">
        <v>11</v>
      </c>
      <c r="E64" s="1" t="s">
        <v>14</v>
      </c>
      <c r="F64" s="4">
        <v>5718</v>
      </c>
      <c r="G64" s="5" t="s">
        <v>89</v>
      </c>
    </row>
    <row r="65" spans="1:9" ht="14.25" customHeight="1" x14ac:dyDescent="0.55000000000000004">
      <c r="A65" s="2">
        <v>44920</v>
      </c>
      <c r="B65" s="1" t="s">
        <v>31</v>
      </c>
      <c r="C65" s="1" t="s">
        <v>23</v>
      </c>
      <c r="D65" s="1" t="s">
        <v>11</v>
      </c>
      <c r="E65" s="1" t="s">
        <v>8</v>
      </c>
      <c r="F65" s="4">
        <v>50000</v>
      </c>
      <c r="G65" s="5" t="s">
        <v>71</v>
      </c>
    </row>
    <row r="66" spans="1:9" ht="14.25" customHeight="1" x14ac:dyDescent="0.55000000000000004">
      <c r="A66" s="2">
        <v>44921</v>
      </c>
      <c r="B66" s="1" t="s">
        <v>32</v>
      </c>
      <c r="C66" s="1" t="s">
        <v>23</v>
      </c>
      <c r="D66" s="1" t="s">
        <v>11</v>
      </c>
      <c r="E66" s="1" t="s">
        <v>14</v>
      </c>
      <c r="F66" s="4">
        <v>10000</v>
      </c>
      <c r="G66" s="5" t="s">
        <v>71</v>
      </c>
    </row>
    <row r="67" spans="1:9" ht="14.25" customHeight="1" x14ac:dyDescent="0.55000000000000004">
      <c r="A67" s="2">
        <v>44921</v>
      </c>
      <c r="B67" s="1" t="s">
        <v>53</v>
      </c>
      <c r="C67" s="1" t="s">
        <v>13</v>
      </c>
      <c r="D67" s="1" t="s">
        <v>11</v>
      </c>
      <c r="E67" s="1" t="s">
        <v>8</v>
      </c>
      <c r="F67" s="4">
        <v>6383</v>
      </c>
      <c r="G67" s="5" t="s">
        <v>89</v>
      </c>
    </row>
    <row r="68" spans="1:9" ht="14.25" customHeight="1" x14ac:dyDescent="0.55000000000000004">
      <c r="A68" s="2">
        <v>44922</v>
      </c>
      <c r="B68" s="1" t="s">
        <v>22</v>
      </c>
      <c r="C68" s="1" t="s">
        <v>23</v>
      </c>
      <c r="D68" s="1" t="s">
        <v>11</v>
      </c>
      <c r="E68" s="1" t="s">
        <v>8</v>
      </c>
      <c r="F68" s="4">
        <v>11670</v>
      </c>
      <c r="G68" s="5" t="s">
        <v>89</v>
      </c>
    </row>
    <row r="69" spans="1:9" ht="14.25" customHeight="1" x14ac:dyDescent="0.55000000000000004">
      <c r="A69" s="2">
        <v>44922</v>
      </c>
      <c r="B69" s="1" t="s">
        <v>21</v>
      </c>
      <c r="C69" s="1" t="s">
        <v>13</v>
      </c>
      <c r="D69" s="1" t="s">
        <v>11</v>
      </c>
      <c r="E69" s="1" t="s">
        <v>8</v>
      </c>
      <c r="F69" s="4">
        <v>8108</v>
      </c>
      <c r="G69" s="5" t="s">
        <v>89</v>
      </c>
    </row>
    <row r="70" spans="1:9" ht="14.25" customHeight="1" x14ac:dyDescent="0.55000000000000004">
      <c r="A70" s="2">
        <v>44923</v>
      </c>
      <c r="B70" s="1" t="s">
        <v>21</v>
      </c>
      <c r="C70" s="1" t="s">
        <v>13</v>
      </c>
      <c r="D70" s="1" t="s">
        <v>11</v>
      </c>
      <c r="E70" s="1" t="s">
        <v>8</v>
      </c>
      <c r="F70" s="4">
        <v>6675</v>
      </c>
      <c r="G70" s="5" t="s">
        <v>89</v>
      </c>
    </row>
    <row r="71" spans="1:9" ht="14.25" customHeight="1" x14ac:dyDescent="0.55000000000000004">
      <c r="A71" s="2">
        <v>44923</v>
      </c>
      <c r="B71" s="1" t="s">
        <v>20</v>
      </c>
      <c r="C71" s="1" t="s">
        <v>10</v>
      </c>
      <c r="D71" s="1" t="s">
        <v>11</v>
      </c>
      <c r="E71" s="1" t="s">
        <v>8</v>
      </c>
      <c r="F71" s="4">
        <v>65900</v>
      </c>
      <c r="G71" s="5" t="s">
        <v>89</v>
      </c>
    </row>
    <row r="72" spans="1:9" ht="14.25" customHeight="1" x14ac:dyDescent="0.55000000000000004">
      <c r="A72" s="2">
        <v>44924</v>
      </c>
      <c r="B72" s="1" t="s">
        <v>54</v>
      </c>
      <c r="C72" s="1" t="s">
        <v>23</v>
      </c>
      <c r="D72" s="1" t="s">
        <v>11</v>
      </c>
      <c r="E72" s="1" t="s">
        <v>14</v>
      </c>
      <c r="F72" s="4">
        <v>6189</v>
      </c>
      <c r="G72" s="5" t="s">
        <v>89</v>
      </c>
      <c r="I72" s="5"/>
    </row>
    <row r="73" spans="1:9" ht="14.25" customHeight="1" x14ac:dyDescent="0.55000000000000004">
      <c r="A73" s="2">
        <v>44926</v>
      </c>
      <c r="B73" s="1" t="s">
        <v>36</v>
      </c>
      <c r="C73" s="1" t="s">
        <v>16</v>
      </c>
      <c r="D73" s="1" t="s">
        <v>11</v>
      </c>
      <c r="E73" s="1" t="s">
        <v>8</v>
      </c>
      <c r="F73" s="4">
        <v>1940</v>
      </c>
      <c r="G73" s="5" t="s">
        <v>71</v>
      </c>
    </row>
    <row r="74" spans="1:9" ht="14.25" customHeight="1" x14ac:dyDescent="0.55000000000000004">
      <c r="A74" s="2"/>
    </row>
    <row r="75" spans="1:9" ht="14.25" customHeight="1" x14ac:dyDescent="0.55000000000000004">
      <c r="A75" s="2"/>
    </row>
    <row r="76" spans="1:9" ht="14.25" customHeight="1" x14ac:dyDescent="0.55000000000000004">
      <c r="A76" s="2"/>
      <c r="I76" s="5"/>
    </row>
    <row r="77" spans="1:9" ht="14.25" customHeight="1" x14ac:dyDescent="0.55000000000000004">
      <c r="A77" s="2"/>
      <c r="I77" s="5"/>
    </row>
    <row r="78" spans="1:9" ht="14.25" customHeight="1" x14ac:dyDescent="0.55000000000000004">
      <c r="A78" s="2"/>
    </row>
    <row r="79" spans="1:9" ht="14.25" customHeight="1" x14ac:dyDescent="0.55000000000000004">
      <c r="A79" s="2"/>
    </row>
    <row r="80" spans="1:9" ht="14.25" customHeight="1" x14ac:dyDescent="0.55000000000000004">
      <c r="A80" s="2"/>
    </row>
    <row r="81" spans="1:1" ht="14.25" customHeight="1" x14ac:dyDescent="0.55000000000000004">
      <c r="A81" s="2"/>
    </row>
    <row r="82" spans="1:1" ht="14.25" customHeight="1" x14ac:dyDescent="0.55000000000000004">
      <c r="A82" s="2"/>
    </row>
    <row r="83" spans="1:1" ht="14.25" customHeight="1" x14ac:dyDescent="0.55000000000000004">
      <c r="A83" s="2"/>
    </row>
    <row r="84" spans="1:1" ht="14.25" customHeight="1" x14ac:dyDescent="0.55000000000000004">
      <c r="A84" s="2"/>
    </row>
    <row r="85" spans="1:1" ht="14.25" customHeight="1" x14ac:dyDescent="0.55000000000000004">
      <c r="A85" s="2"/>
    </row>
    <row r="86" spans="1:1" ht="14.25" customHeight="1" x14ac:dyDescent="0.55000000000000004">
      <c r="A86" s="2"/>
    </row>
    <row r="87" spans="1:1" ht="14.25" customHeight="1" x14ac:dyDescent="0.55000000000000004">
      <c r="A87" s="2"/>
    </row>
    <row r="88" spans="1:1" ht="14.25" customHeight="1" x14ac:dyDescent="0.55000000000000004">
      <c r="A88" s="2"/>
    </row>
    <row r="89" spans="1:1" ht="14.25" customHeight="1" x14ac:dyDescent="0.55000000000000004">
      <c r="A89" s="2"/>
    </row>
    <row r="90" spans="1:1" ht="14.25" customHeight="1" x14ac:dyDescent="0.55000000000000004">
      <c r="A90" s="2"/>
    </row>
    <row r="91" spans="1:1" ht="14.25" customHeight="1" x14ac:dyDescent="0.55000000000000004">
      <c r="A91" s="2"/>
    </row>
    <row r="92" spans="1:1" ht="14.25" customHeight="1" x14ac:dyDescent="0.55000000000000004">
      <c r="A92" s="2"/>
    </row>
    <row r="93" spans="1:1" ht="14.25" customHeight="1" x14ac:dyDescent="0.55000000000000004"/>
    <row r="94" spans="1:1" ht="14.25" customHeight="1" x14ac:dyDescent="0.55000000000000004"/>
    <row r="95" spans="1:1" ht="14.25" customHeight="1" x14ac:dyDescent="0.55000000000000004"/>
    <row r="96" spans="1:1"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phoneticPr fontId="18" type="noConversion"/>
  <dataValidations disablePrompts="1" count="1">
    <dataValidation type="list" allowBlank="1" showErrorMessage="1" sqref="D2:D73" xr:uid="{00000000-0002-0000-0000-000000000000}">
      <formula1>"Income,Expenses"</formula1>
    </dataValidation>
  </dataValidations>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D59B1-3725-4D11-848D-E93F6D18BA65}">
  <dimension ref="A1:B7"/>
  <sheetViews>
    <sheetView workbookViewId="0">
      <selection activeCell="M20" sqref="M20"/>
    </sheetView>
  </sheetViews>
  <sheetFormatPr defaultRowHeight="14.4" x14ac:dyDescent="0.55000000000000004"/>
  <cols>
    <col min="1" max="1" width="12.05078125" bestFit="1" customWidth="1"/>
    <col min="2" max="2" width="13.3671875" bestFit="1" customWidth="1"/>
  </cols>
  <sheetData>
    <row r="1" spans="1:2" x14ac:dyDescent="0.55000000000000004">
      <c r="A1" s="6" t="s">
        <v>3</v>
      </c>
      <c r="B1" t="s">
        <v>11</v>
      </c>
    </row>
    <row r="3" spans="1:2" x14ac:dyDescent="0.55000000000000004">
      <c r="A3" s="6" t="s">
        <v>60</v>
      </c>
      <c r="B3" t="s">
        <v>65</v>
      </c>
    </row>
    <row r="4" spans="1:2" x14ac:dyDescent="0.55000000000000004">
      <c r="A4" s="7" t="s">
        <v>62</v>
      </c>
      <c r="B4">
        <v>258559</v>
      </c>
    </row>
    <row r="5" spans="1:2" x14ac:dyDescent="0.55000000000000004">
      <c r="A5" s="7" t="s">
        <v>63</v>
      </c>
      <c r="B5">
        <v>261104</v>
      </c>
    </row>
    <row r="6" spans="1:2" x14ac:dyDescent="0.55000000000000004">
      <c r="A6" s="7" t="s">
        <v>64</v>
      </c>
      <c r="B6">
        <v>343323</v>
      </c>
    </row>
    <row r="7" spans="1:2" x14ac:dyDescent="0.55000000000000004">
      <c r="A7" s="7" t="s">
        <v>61</v>
      </c>
      <c r="B7" s="30">
        <v>862986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5FFD4-98BA-44B7-8809-DA4D55F74786}">
  <dimension ref="A3:J8"/>
  <sheetViews>
    <sheetView workbookViewId="0">
      <selection activeCell="M8" sqref="M8"/>
    </sheetView>
  </sheetViews>
  <sheetFormatPr defaultRowHeight="14.4" x14ac:dyDescent="0.55000000000000004"/>
  <cols>
    <col min="1" max="1" width="13.3671875" bestFit="1" customWidth="1"/>
    <col min="2" max="2" width="14.68359375" bestFit="1" customWidth="1"/>
    <col min="3" max="3" width="10.05078125" bestFit="1" customWidth="1"/>
    <col min="4" max="4" width="10.20703125" bestFit="1" customWidth="1"/>
    <col min="5" max="5" width="11.7890625" bestFit="1" customWidth="1"/>
    <col min="6" max="6" width="10.89453125" bestFit="1" customWidth="1"/>
  </cols>
  <sheetData>
    <row r="3" spans="1:10" x14ac:dyDescent="0.55000000000000004">
      <c r="A3" s="6" t="s">
        <v>65</v>
      </c>
      <c r="B3" s="6" t="s">
        <v>67</v>
      </c>
      <c r="I3" s="3" t="s">
        <v>75</v>
      </c>
      <c r="J3" s="3" t="s">
        <v>74</v>
      </c>
    </row>
    <row r="4" spans="1:10" x14ac:dyDescent="0.55000000000000004">
      <c r="A4" s="6" t="s">
        <v>60</v>
      </c>
      <c r="B4" t="s">
        <v>11</v>
      </c>
      <c r="C4" t="s">
        <v>7</v>
      </c>
      <c r="D4" t="s">
        <v>61</v>
      </c>
      <c r="E4" s="3" t="s">
        <v>68</v>
      </c>
      <c r="F4" s="3" t="s">
        <v>74</v>
      </c>
      <c r="I4" s="11" t="s">
        <v>62</v>
      </c>
      <c r="J4" s="9">
        <v>0.35360249999999999</v>
      </c>
    </row>
    <row r="5" spans="1:10" x14ac:dyDescent="0.55000000000000004">
      <c r="A5" s="7" t="s">
        <v>62</v>
      </c>
      <c r="B5">
        <v>258559</v>
      </c>
      <c r="C5">
        <v>400000</v>
      </c>
      <c r="D5">
        <v>658559</v>
      </c>
      <c r="E5" s="12">
        <f>GETPIVOTDATA("Amount",$A$3,"Fund Class","Income","Months (Date)",10)-GETPIVOTDATA("Amount",$A$3,"Fund Class","Expenses","Months (Date)",10)</f>
        <v>141441</v>
      </c>
      <c r="F5" s="9">
        <f>E5/GETPIVOTDATA("Amount",$A$3,"Fund Class","Income","Months (Date)",10)</f>
        <v>0.35360249999999999</v>
      </c>
      <c r="I5" s="7" t="s">
        <v>63</v>
      </c>
      <c r="J5" s="9">
        <v>0.34723999999999999</v>
      </c>
    </row>
    <row r="6" spans="1:10" x14ac:dyDescent="0.55000000000000004">
      <c r="A6" s="7" t="s">
        <v>63</v>
      </c>
      <c r="B6">
        <v>261104</v>
      </c>
      <c r="C6">
        <v>400000</v>
      </c>
      <c r="D6">
        <v>661104</v>
      </c>
      <c r="E6" s="13">
        <f>GETPIVOTDATA("Amount",$A$3,"Fund Class","Income","Months (Date)",11)-GETPIVOTDATA("Amount",$A$3,"Fund Class","Expenses","Months (Date)",11)</f>
        <v>138896</v>
      </c>
      <c r="F6" s="9">
        <f t="shared" ref="F6" si="0">E6/GETPIVOTDATA("Amount",$A$3,"Fund Class","Income","Months (Date)",10)</f>
        <v>0.34723999999999999</v>
      </c>
      <c r="I6" s="7" t="s">
        <v>64</v>
      </c>
      <c r="J6" s="9">
        <v>0.46845796562935438</v>
      </c>
    </row>
    <row r="7" spans="1:10" x14ac:dyDescent="0.55000000000000004">
      <c r="A7" s="7" t="s">
        <v>64</v>
      </c>
      <c r="B7">
        <v>343323</v>
      </c>
      <c r="C7">
        <v>645900</v>
      </c>
      <c r="D7">
        <v>989223</v>
      </c>
      <c r="E7" s="14">
        <f>GETPIVOTDATA("Amount",$A$3,"Fund Class","Income","Months (Date)",12)-GETPIVOTDATA("Amount",$A$3,"Fund Class","Expenses","Months (Date)",12)</f>
        <v>302577</v>
      </c>
      <c r="F7" s="9">
        <f>E7/GETPIVOTDATA("Amount",$A$3,"Fund Class","Income","Months (Date)",12)</f>
        <v>0.46845796562935438</v>
      </c>
    </row>
    <row r="8" spans="1:10" x14ac:dyDescent="0.55000000000000004">
      <c r="A8" s="7" t="s">
        <v>61</v>
      </c>
      <c r="B8" s="5">
        <v>862986</v>
      </c>
      <c r="C8" s="5">
        <v>1445900</v>
      </c>
      <c r="D8" s="5">
        <v>2308886</v>
      </c>
      <c r="E8" s="15">
        <f>GETPIVOTDATA("Amount",$A$3,"Fund Class","Income")-GETPIVOTDATA("Amount",$A$3,"Fund Class","Expenses")</f>
        <v>582914</v>
      </c>
      <c r="F8" s="16"/>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1D033-9E51-43AB-B88A-3E0DC57AFB57}">
  <dimension ref="A3:B9"/>
  <sheetViews>
    <sheetView workbookViewId="0">
      <selection activeCell="B9" sqref="B9"/>
    </sheetView>
  </sheetViews>
  <sheetFormatPr defaultRowHeight="14.4" x14ac:dyDescent="0.55000000000000004"/>
  <cols>
    <col min="1" max="1" width="20.41796875" bestFit="1" customWidth="1"/>
    <col min="2" max="2" width="13.3671875" bestFit="1" customWidth="1"/>
    <col min="3" max="3" width="14.20703125" bestFit="1" customWidth="1"/>
    <col min="4" max="4" width="10.05078125" bestFit="1" customWidth="1"/>
    <col min="5" max="5" width="21.3671875" bestFit="1" customWidth="1"/>
    <col min="6" max="6" width="15.05078125" bestFit="1" customWidth="1"/>
    <col min="7" max="7" width="10.9453125" bestFit="1" customWidth="1"/>
    <col min="8" max="8" width="15.05078125" bestFit="1" customWidth="1"/>
    <col min="9" max="9" width="18.734375" bestFit="1" customWidth="1"/>
    <col min="10" max="10" width="16.41796875" bestFit="1" customWidth="1"/>
    <col min="11" max="11" width="11.26171875" bestFit="1" customWidth="1"/>
    <col min="12" max="12" width="18.68359375" bestFit="1" customWidth="1"/>
    <col min="13" max="13" width="23.47265625" bestFit="1" customWidth="1"/>
    <col min="14" max="14" width="27.15625" bestFit="1" customWidth="1"/>
    <col min="15" max="15" width="14.89453125" bestFit="1" customWidth="1"/>
    <col min="16" max="16" width="17.62890625" bestFit="1" customWidth="1"/>
    <col min="17" max="17" width="13.9453125" bestFit="1" customWidth="1"/>
    <col min="18" max="18" width="9.68359375" bestFit="1" customWidth="1"/>
    <col min="19" max="19" width="15.83984375" bestFit="1" customWidth="1"/>
    <col min="20" max="20" width="16.89453125" bestFit="1" customWidth="1"/>
    <col min="21" max="21" width="20.578125" bestFit="1" customWidth="1"/>
    <col min="22" max="22" width="22" bestFit="1" customWidth="1"/>
    <col min="23" max="23" width="14.15625" bestFit="1" customWidth="1"/>
    <col min="24" max="24" width="28.3125" bestFit="1" customWidth="1"/>
    <col min="25" max="25" width="12.26171875" bestFit="1" customWidth="1"/>
    <col min="26" max="26" width="11.68359375" bestFit="1" customWidth="1"/>
    <col min="27" max="27" width="16.3671875" bestFit="1" customWidth="1"/>
    <col min="28" max="28" width="24.89453125" bestFit="1" customWidth="1"/>
    <col min="29" max="29" width="21.89453125" bestFit="1" customWidth="1"/>
    <col min="30" max="30" width="12.3671875" bestFit="1" customWidth="1"/>
    <col min="31" max="31" width="19.9453125" bestFit="1" customWidth="1"/>
    <col min="32" max="32" width="11.89453125" bestFit="1" customWidth="1"/>
    <col min="33" max="33" width="14.20703125" bestFit="1" customWidth="1"/>
    <col min="34" max="34" width="17.15625" bestFit="1" customWidth="1"/>
    <col min="35" max="35" width="12" bestFit="1" customWidth="1"/>
    <col min="36" max="36" width="12.3125" bestFit="1" customWidth="1"/>
    <col min="37" max="37" width="21.734375" bestFit="1" customWidth="1"/>
    <col min="38" max="38" width="16.47265625" bestFit="1" customWidth="1"/>
    <col min="39" max="39" width="21.7890625" bestFit="1" customWidth="1"/>
    <col min="40" max="40" width="12.1015625" bestFit="1" customWidth="1"/>
    <col min="41" max="41" width="18" bestFit="1" customWidth="1"/>
    <col min="42" max="42" width="10.20703125" bestFit="1" customWidth="1"/>
  </cols>
  <sheetData>
    <row r="3" spans="1:2" x14ac:dyDescent="0.55000000000000004">
      <c r="A3" s="6" t="s">
        <v>60</v>
      </c>
      <c r="B3" t="s">
        <v>65</v>
      </c>
    </row>
    <row r="4" spans="1:2" x14ac:dyDescent="0.55000000000000004">
      <c r="A4" s="7" t="s">
        <v>6</v>
      </c>
      <c r="B4" s="5">
        <v>1200000</v>
      </c>
    </row>
    <row r="5" spans="1:2" x14ac:dyDescent="0.55000000000000004">
      <c r="A5" s="7" t="s">
        <v>45</v>
      </c>
      <c r="B5" s="5">
        <v>150000</v>
      </c>
    </row>
    <row r="6" spans="1:2" x14ac:dyDescent="0.55000000000000004">
      <c r="A6" s="7" t="s">
        <v>31</v>
      </c>
      <c r="B6" s="5">
        <v>150000</v>
      </c>
    </row>
    <row r="7" spans="1:2" x14ac:dyDescent="0.55000000000000004">
      <c r="A7" s="7" t="s">
        <v>46</v>
      </c>
      <c r="B7" s="5">
        <v>95900</v>
      </c>
    </row>
    <row r="8" spans="1:2" x14ac:dyDescent="0.55000000000000004">
      <c r="A8" s="7" t="s">
        <v>35</v>
      </c>
      <c r="B8" s="5">
        <v>77917</v>
      </c>
    </row>
    <row r="9" spans="1:2" x14ac:dyDescent="0.55000000000000004">
      <c r="A9" s="7" t="s">
        <v>61</v>
      </c>
      <c r="B9" s="5">
        <v>1673817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D1535-D5FE-4CD8-B389-C09AA87FE344}">
  <dimension ref="A3:B8"/>
  <sheetViews>
    <sheetView workbookViewId="0">
      <selection activeCell="L7" sqref="L7"/>
    </sheetView>
  </sheetViews>
  <sheetFormatPr defaultRowHeight="14.4" x14ac:dyDescent="0.55000000000000004"/>
  <cols>
    <col min="1" max="1" width="13.26171875" bestFit="1" customWidth="1"/>
    <col min="2" max="2" width="13.3671875" bestFit="1" customWidth="1"/>
  </cols>
  <sheetData>
    <row r="3" spans="1:2" x14ac:dyDescent="0.55000000000000004">
      <c r="A3" s="6" t="s">
        <v>60</v>
      </c>
      <c r="B3" t="s">
        <v>65</v>
      </c>
    </row>
    <row r="4" spans="1:2" x14ac:dyDescent="0.55000000000000004">
      <c r="A4" s="7" t="s">
        <v>89</v>
      </c>
      <c r="B4" s="5">
        <v>551495</v>
      </c>
    </row>
    <row r="5" spans="1:2" x14ac:dyDescent="0.55000000000000004">
      <c r="A5" s="18" t="s">
        <v>11</v>
      </c>
      <c r="B5" s="5">
        <v>551495</v>
      </c>
    </row>
    <row r="6" spans="1:2" x14ac:dyDescent="0.55000000000000004">
      <c r="A6" s="7" t="s">
        <v>71</v>
      </c>
      <c r="B6" s="5">
        <v>311491</v>
      </c>
    </row>
    <row r="7" spans="1:2" x14ac:dyDescent="0.55000000000000004">
      <c r="A7" s="18" t="s">
        <v>11</v>
      </c>
      <c r="B7" s="5">
        <v>311491</v>
      </c>
    </row>
    <row r="8" spans="1:2" x14ac:dyDescent="0.55000000000000004">
      <c r="A8" s="7" t="s">
        <v>61</v>
      </c>
      <c r="B8" s="5">
        <v>862986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C793D-03C9-4E7D-AD67-BBB36A0B6BE5}">
  <dimension ref="A1:B9"/>
  <sheetViews>
    <sheetView workbookViewId="0">
      <selection activeCell="G20" sqref="G20"/>
    </sheetView>
  </sheetViews>
  <sheetFormatPr defaultRowHeight="14.4" x14ac:dyDescent="0.55000000000000004"/>
  <cols>
    <col min="1" max="1" width="18.62890625" bestFit="1" customWidth="1"/>
    <col min="2" max="2" width="13.3671875" bestFit="1" customWidth="1"/>
  </cols>
  <sheetData>
    <row r="1" spans="1:2" x14ac:dyDescent="0.55000000000000004">
      <c r="A1" s="6" t="s">
        <v>3</v>
      </c>
      <c r="B1" t="s">
        <v>11</v>
      </c>
    </row>
    <row r="3" spans="1:2" x14ac:dyDescent="0.55000000000000004">
      <c r="A3" s="6" t="s">
        <v>60</v>
      </c>
      <c r="B3" t="s">
        <v>65</v>
      </c>
    </row>
    <row r="4" spans="1:2" x14ac:dyDescent="0.55000000000000004">
      <c r="A4" s="7" t="s">
        <v>30</v>
      </c>
      <c r="B4" s="30">
        <v>69900</v>
      </c>
    </row>
    <row r="5" spans="1:2" x14ac:dyDescent="0.55000000000000004">
      <c r="A5" s="7" t="s">
        <v>16</v>
      </c>
      <c r="B5" s="30">
        <v>137712</v>
      </c>
    </row>
    <row r="6" spans="1:2" x14ac:dyDescent="0.55000000000000004">
      <c r="A6" s="7" t="s">
        <v>10</v>
      </c>
      <c r="B6" s="30">
        <v>182094</v>
      </c>
    </row>
    <row r="7" spans="1:2" x14ac:dyDescent="0.55000000000000004">
      <c r="A7" s="7" t="s">
        <v>13</v>
      </c>
      <c r="B7" s="30">
        <v>207910</v>
      </c>
    </row>
    <row r="8" spans="1:2" x14ac:dyDescent="0.55000000000000004">
      <c r="A8" s="7" t="s">
        <v>23</v>
      </c>
      <c r="B8" s="30">
        <v>265370</v>
      </c>
    </row>
    <row r="9" spans="1:2" x14ac:dyDescent="0.55000000000000004">
      <c r="A9" s="7" t="s">
        <v>61</v>
      </c>
      <c r="B9" s="30">
        <v>862986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DE42E-BD21-4B05-84B6-8ABEE17D1E96}">
  <dimension ref="A3:L7"/>
  <sheetViews>
    <sheetView workbookViewId="0">
      <selection activeCell="M9" sqref="M9"/>
    </sheetView>
  </sheetViews>
  <sheetFormatPr defaultRowHeight="14.4" x14ac:dyDescent="0.55000000000000004"/>
  <cols>
    <col min="1" max="1" width="12.05078125" bestFit="1" customWidth="1"/>
    <col min="2" max="2" width="13.3671875" bestFit="1" customWidth="1"/>
  </cols>
  <sheetData>
    <row r="3" spans="1:12" x14ac:dyDescent="0.55000000000000004">
      <c r="A3" s="6" t="s">
        <v>60</v>
      </c>
      <c r="B3" t="s">
        <v>65</v>
      </c>
    </row>
    <row r="4" spans="1:12" x14ac:dyDescent="0.55000000000000004">
      <c r="A4" s="7" t="s">
        <v>7</v>
      </c>
      <c r="B4" s="5">
        <v>1445900</v>
      </c>
    </row>
    <row r="5" spans="1:12" x14ac:dyDescent="0.55000000000000004">
      <c r="A5" s="7" t="s">
        <v>11</v>
      </c>
      <c r="B5" s="5">
        <v>862986</v>
      </c>
    </row>
    <row r="6" spans="1:12" x14ac:dyDescent="0.55000000000000004">
      <c r="A6" s="7" t="s">
        <v>61</v>
      </c>
      <c r="B6" s="5">
        <v>2308886</v>
      </c>
    </row>
    <row r="7" spans="1:12" ht="15.6" x14ac:dyDescent="0.6">
      <c r="B7" s="28"/>
      <c r="C7" s="29"/>
      <c r="L7" s="8"/>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9F761-3677-46A6-B7D7-D220E0B863CD}">
  <dimension ref="A3:C9"/>
  <sheetViews>
    <sheetView workbookViewId="0">
      <selection activeCell="F19" sqref="F19"/>
    </sheetView>
  </sheetViews>
  <sheetFormatPr defaultRowHeight="14.4" x14ac:dyDescent="0.55000000000000004"/>
  <cols>
    <col min="1" max="1" width="18.62890625" bestFit="1" customWidth="1"/>
    <col min="2" max="2" width="13.3671875" bestFit="1" customWidth="1"/>
    <col min="3" max="3" width="17.578125" bestFit="1" customWidth="1"/>
  </cols>
  <sheetData>
    <row r="3" spans="1:3" x14ac:dyDescent="0.55000000000000004">
      <c r="A3" s="6" t="s">
        <v>60</v>
      </c>
      <c r="B3" t="s">
        <v>65</v>
      </c>
      <c r="C3" t="s">
        <v>69</v>
      </c>
    </row>
    <row r="4" spans="1:3" x14ac:dyDescent="0.55000000000000004">
      <c r="A4" s="7" t="s">
        <v>30</v>
      </c>
      <c r="B4" s="5">
        <v>69900</v>
      </c>
      <c r="C4" s="5">
        <v>23300</v>
      </c>
    </row>
    <row r="5" spans="1:3" x14ac:dyDescent="0.55000000000000004">
      <c r="A5" s="7" t="s">
        <v>10</v>
      </c>
      <c r="B5" s="5">
        <v>182094</v>
      </c>
      <c r="C5" s="5">
        <v>13006.714285714286</v>
      </c>
    </row>
    <row r="6" spans="1:3" x14ac:dyDescent="0.55000000000000004">
      <c r="A6" s="7" t="s">
        <v>13</v>
      </c>
      <c r="B6" s="5">
        <v>207910</v>
      </c>
      <c r="C6" s="5">
        <v>8316.4</v>
      </c>
    </row>
    <row r="7" spans="1:3" x14ac:dyDescent="0.55000000000000004">
      <c r="A7" s="7" t="s">
        <v>23</v>
      </c>
      <c r="B7" s="5">
        <v>265370</v>
      </c>
      <c r="C7" s="5">
        <v>18955</v>
      </c>
    </row>
    <row r="8" spans="1:3" x14ac:dyDescent="0.55000000000000004">
      <c r="A8" s="7" t="s">
        <v>16</v>
      </c>
      <c r="B8" s="5">
        <v>137712</v>
      </c>
      <c r="C8" s="5">
        <v>12519.272727272728</v>
      </c>
    </row>
    <row r="9" spans="1:3" x14ac:dyDescent="0.55000000000000004">
      <c r="A9" s="7" t="s">
        <v>61</v>
      </c>
      <c r="B9" s="5">
        <v>862986</v>
      </c>
      <c r="C9" s="5">
        <v>12880.388059701492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9E902-B82F-4E08-80CB-8400948A4347}">
  <dimension ref="A3:D7"/>
  <sheetViews>
    <sheetView workbookViewId="0">
      <selection activeCell="C11" sqref="C11"/>
    </sheetView>
  </sheetViews>
  <sheetFormatPr defaultRowHeight="14.4" x14ac:dyDescent="0.55000000000000004"/>
  <cols>
    <col min="1" max="1" width="13.3671875" bestFit="1" customWidth="1"/>
    <col min="2" max="2" width="14.68359375" bestFit="1" customWidth="1"/>
    <col min="3" max="3" width="10.05078125" bestFit="1" customWidth="1"/>
    <col min="4" max="5" width="10.20703125" bestFit="1" customWidth="1"/>
  </cols>
  <sheetData>
    <row r="3" spans="1:4" x14ac:dyDescent="0.55000000000000004">
      <c r="A3" s="6" t="s">
        <v>65</v>
      </c>
      <c r="B3" s="6" t="s">
        <v>67</v>
      </c>
    </row>
    <row r="4" spans="1:4" x14ac:dyDescent="0.55000000000000004">
      <c r="A4" s="6" t="s">
        <v>60</v>
      </c>
      <c r="B4" t="s">
        <v>11</v>
      </c>
      <c r="C4" t="s">
        <v>7</v>
      </c>
      <c r="D4" t="s">
        <v>61</v>
      </c>
    </row>
    <row r="5" spans="1:4" x14ac:dyDescent="0.55000000000000004">
      <c r="A5" s="7" t="s">
        <v>14</v>
      </c>
      <c r="B5" s="5">
        <v>379302</v>
      </c>
      <c r="C5" s="5"/>
      <c r="D5" s="5">
        <v>379302</v>
      </c>
    </row>
    <row r="6" spans="1:4" x14ac:dyDescent="0.55000000000000004">
      <c r="A6" s="7" t="s">
        <v>8</v>
      </c>
      <c r="B6" s="5">
        <v>483684</v>
      </c>
      <c r="C6" s="5">
        <v>1445900</v>
      </c>
      <c r="D6" s="5">
        <v>1929584</v>
      </c>
    </row>
    <row r="7" spans="1:4" x14ac:dyDescent="0.55000000000000004">
      <c r="A7" s="7" t="s">
        <v>61</v>
      </c>
      <c r="B7" s="5">
        <v>862986</v>
      </c>
      <c r="C7" s="5">
        <v>1445900</v>
      </c>
      <c r="D7" s="5">
        <v>2308886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FC1AE-21DB-460D-956B-5FEAD3DD2B50}">
  <dimension ref="A1:B9"/>
  <sheetViews>
    <sheetView tabSelected="1" workbookViewId="0">
      <selection activeCell="L9" sqref="L9"/>
    </sheetView>
  </sheetViews>
  <sheetFormatPr defaultRowHeight="14.4" x14ac:dyDescent="0.55000000000000004"/>
  <cols>
    <col min="1" max="1" width="18.62890625" bestFit="1" customWidth="1"/>
    <col min="2" max="2" width="14.734375" bestFit="1" customWidth="1"/>
  </cols>
  <sheetData>
    <row r="1" spans="1:2" x14ac:dyDescent="0.55000000000000004">
      <c r="A1" s="6" t="s">
        <v>3</v>
      </c>
      <c r="B1" t="s">
        <v>11</v>
      </c>
    </row>
    <row r="3" spans="1:2" x14ac:dyDescent="0.55000000000000004">
      <c r="A3" s="6" t="s">
        <v>60</v>
      </c>
      <c r="B3" t="s">
        <v>66</v>
      </c>
    </row>
    <row r="4" spans="1:2" x14ac:dyDescent="0.55000000000000004">
      <c r="A4" s="7" t="s">
        <v>13</v>
      </c>
      <c r="B4">
        <v>25</v>
      </c>
    </row>
    <row r="5" spans="1:2" x14ac:dyDescent="0.55000000000000004">
      <c r="A5" s="7" t="s">
        <v>23</v>
      </c>
      <c r="B5">
        <v>14</v>
      </c>
    </row>
    <row r="6" spans="1:2" x14ac:dyDescent="0.55000000000000004">
      <c r="A6" s="7" t="s">
        <v>10</v>
      </c>
      <c r="B6">
        <v>14</v>
      </c>
    </row>
    <row r="7" spans="1:2" x14ac:dyDescent="0.55000000000000004">
      <c r="A7" s="7" t="s">
        <v>16</v>
      </c>
      <c r="B7">
        <v>11</v>
      </c>
    </row>
    <row r="8" spans="1:2" x14ac:dyDescent="0.55000000000000004">
      <c r="A8" s="7" t="s">
        <v>30</v>
      </c>
      <c r="B8">
        <v>3</v>
      </c>
    </row>
    <row r="9" spans="1:2" x14ac:dyDescent="0.55000000000000004">
      <c r="A9" s="7" t="s">
        <v>61</v>
      </c>
      <c r="B9">
        <v>67</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FC29-F28C-4170-8CF1-4B1701A777D8}">
  <dimension ref="A1:D10"/>
  <sheetViews>
    <sheetView workbookViewId="0">
      <selection activeCell="D9" sqref="D9"/>
    </sheetView>
  </sheetViews>
  <sheetFormatPr defaultRowHeight="14.4" x14ac:dyDescent="0.55000000000000004"/>
  <cols>
    <col min="1" max="1" width="18.62890625" bestFit="1" customWidth="1"/>
    <col min="2" max="2" width="13.3671875" bestFit="1" customWidth="1"/>
    <col min="3" max="3" width="12.578125" bestFit="1" customWidth="1"/>
    <col min="4" max="4" width="19.62890625" bestFit="1" customWidth="1"/>
  </cols>
  <sheetData>
    <row r="1" spans="1:4" x14ac:dyDescent="0.55000000000000004">
      <c r="C1" s="31">
        <v>862986</v>
      </c>
    </row>
    <row r="3" spans="1:4" x14ac:dyDescent="0.55000000000000004">
      <c r="A3" s="6" t="s">
        <v>60</v>
      </c>
      <c r="B3" t="s">
        <v>65</v>
      </c>
      <c r="C3" s="10" t="s">
        <v>70</v>
      </c>
      <c r="D3" s="10" t="s">
        <v>86</v>
      </c>
    </row>
    <row r="4" spans="1:4" x14ac:dyDescent="0.55000000000000004">
      <c r="A4" s="7" t="s">
        <v>23</v>
      </c>
      <c r="B4" s="30">
        <v>265370</v>
      </c>
      <c r="C4" s="30">
        <f>GETPIVOTDATA("Amount",$A$3,"Category","Housing &amp; Utilities")</f>
        <v>265370</v>
      </c>
      <c r="D4" s="32">
        <f>C4/$C$1</f>
        <v>0.30750209157506608</v>
      </c>
    </row>
    <row r="5" spans="1:4" x14ac:dyDescent="0.55000000000000004">
      <c r="A5" s="7" t="s">
        <v>13</v>
      </c>
      <c r="B5" s="30">
        <v>207910</v>
      </c>
      <c r="C5" s="30">
        <f>GETPIVOTDATA("Amount",$A$3,"Category","Food &amp; Drinks")+C4</f>
        <v>473280</v>
      </c>
      <c r="D5" s="32">
        <f t="shared" ref="D5:D8" si="0">C5/$C$1</f>
        <v>0.54842141123957977</v>
      </c>
    </row>
    <row r="6" spans="1:4" x14ac:dyDescent="0.55000000000000004">
      <c r="A6" s="7" t="s">
        <v>10</v>
      </c>
      <c r="B6" s="30">
        <v>182094</v>
      </c>
      <c r="C6" s="30">
        <f>GETPIVOTDATA("Amount",$A$3,"Category","Flexing")+C5</f>
        <v>655374</v>
      </c>
      <c r="D6" s="32">
        <f t="shared" si="0"/>
        <v>0.75942599300568026</v>
      </c>
    </row>
    <row r="7" spans="1:4" x14ac:dyDescent="0.55000000000000004">
      <c r="A7" s="7" t="s">
        <v>16</v>
      </c>
      <c r="B7" s="30">
        <v>137712</v>
      </c>
      <c r="C7" s="30">
        <f>GETPIVOTDATA("Amount",$A$3,"Category","Personal Development")+C6</f>
        <v>793086</v>
      </c>
      <c r="D7" s="32">
        <f t="shared" si="0"/>
        <v>0.91900216225987441</v>
      </c>
    </row>
    <row r="8" spans="1:4" x14ac:dyDescent="0.55000000000000004">
      <c r="A8" s="7" t="s">
        <v>30</v>
      </c>
      <c r="B8" s="30">
        <v>69900</v>
      </c>
      <c r="C8" s="30">
        <f>GETPIVOTDATA("Amount",$A$3,"Category","Clothing")+C7</f>
        <v>862986</v>
      </c>
      <c r="D8" s="32">
        <f t="shared" si="0"/>
        <v>1</v>
      </c>
    </row>
    <row r="9" spans="1:4" x14ac:dyDescent="0.55000000000000004">
      <c r="A9" s="7" t="s">
        <v>61</v>
      </c>
      <c r="B9" s="30">
        <v>862986</v>
      </c>
      <c r="C9" s="33"/>
      <c r="D9" s="34"/>
    </row>
    <row r="10" spans="1:4" x14ac:dyDescent="0.55000000000000004">
      <c r="C10" s="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DASHBORAD</vt:lpstr>
      <vt:lpstr>RAW DATA</vt:lpstr>
      <vt:lpstr>WORKING SHEET</vt:lpstr>
      <vt:lpstr>MONTHLY EXPENSES</vt:lpstr>
      <vt:lpstr>SAVINGS RATE</vt:lpstr>
      <vt:lpstr>TOP 5 TRANSACTIONS</vt:lpstr>
      <vt:lpstr>FIXED VS DISCRETIONARY EXP</vt:lpstr>
      <vt:lpstr>EXPENSES BY CATEGORY</vt:lpstr>
      <vt:lpstr>INCOME V EXPENSE</vt:lpstr>
      <vt:lpstr>AVERAGE TRANSACTIONS</vt:lpstr>
      <vt:lpstr>CREDIT VS CASH</vt:lpstr>
      <vt:lpstr>COUNTS</vt:lpstr>
      <vt:lpstr>PARETO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KAIRA</dc:creator>
  <cp:lastModifiedBy>OLUCHI ILOKA</cp:lastModifiedBy>
  <cp:lastPrinted>2026-07-17T21:50:25Z</cp:lastPrinted>
  <dcterms:created xsi:type="dcterms:W3CDTF">2026-07-17T21:43:09Z</dcterms:created>
  <dcterms:modified xsi:type="dcterms:W3CDTF">2026-10-06T19:08:36Z</dcterms:modified>
</cp:coreProperties>
</file>